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Survey Analysis " sheetId="2" r:id="rId2"/>
    <sheet name="In Person and TH Ratings" sheetId="3" r:id="rId3"/>
    <sheet name="Neutrals and Below" sheetId="4" r:id="rId4"/>
    <sheet name="Amanda D" sheetId="5" r:id="rId5"/>
    <sheet name="Anna" sheetId="6" r:id="rId6"/>
    <sheet name="Bentley" sheetId="7" r:id="rId7"/>
    <sheet name="Krista" sheetId="8" r:id="rId8"/>
    <sheet name="Amber L" sheetId="9" r:id="rId9"/>
    <sheet name="Jill" sheetId="10" r:id="rId10"/>
    <sheet name="Kristi" sheetId="11" r:id="rId11"/>
    <sheet name="Ginger" sheetId="12" r:id="rId12"/>
    <sheet name="Renee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9.83203125" customWidth="1"/>
    <col min="2" max="2" width="9.83203125" customWidth="1"/>
    <col min="3" max="3" width="9.83203125" customWidth="1"/>
    <col min="4" max="4" width="9.83203125" customWidth="1"/>
    <col min="5" max="5" width="9.83203125" customWidth="1"/>
    <col min="6" max="6" width="9.83203125" customWidth="1"/>
  </cols>
  <sheetData>
    <row r="1">
      <c r="A1" t="str">
        <v>This sheet is intentionally empty. It is meant to hold the raw survey data, but the columns for it have not been specified yet.</v>
      </c>
    </row>
  </sheetData>
  <mergeCells count="1">
    <mergeCell ref="A1:F1"/>
  </mergeCells>
  <ignoredErrors>
    <ignoredError numberStoredAsText="1" sqref="A1:F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cols>
    <col min="1" max="1" width="11.83203125" customWidth="1"/>
    <col min="2" max="2" width="9.83203125" customWidth="1"/>
    <col min="3" max="3" width="22.83203125" customWidth="1"/>
    <col min="4" max="4" width="24.83203125" customWidth="1"/>
    <col min="5" max="5" width="24.83203125" customWidth="1"/>
    <col min="6" max="6" width="14.83203125" customWidth="1"/>
    <col min="7" max="7" width="16.83203125" customWidth="1"/>
    <col min="8" max="8" width="20.83203125" customWidth="1"/>
    <col min="9" max="9" width="9.83203125" customWidth="1"/>
    <col min="10" max="10" width="9.83203125" customWidth="1"/>
    <col min="11" max="11" width="9.83203125" customWidth="1"/>
    <col min="12" max="12" width="22.83203125" customWidth="1"/>
    <col min="13" max="13" width="42.83203125" customWidth="1"/>
    <col min="14" max="14" width="24.83203125" customWidth="1"/>
    <col min="15" max="15" width="24.83203125" customWidth="1"/>
    <col min="16" max="16" width="14.83203125" customWidth="1"/>
    <col min="17" max="17" width="16.83203125" customWidth="1"/>
    <col min="18" max="18" width="20.83203125" customWidth="1"/>
    <col min="19" max="19" width="9.83203125" customWidth="1"/>
  </cols>
  <sheetData>
    <row r="1">
      <c r="A1" t="str">
        <v>Providers</v>
      </c>
      <c r="B1" t="str">
        <v>Office</v>
      </c>
      <c r="C1" t="str">
        <v>Total Active Clients</v>
      </c>
      <c r="D1" t="str">
        <v>Total Surveys Completed</v>
      </c>
      <c r="E1" t="str">
        <v xml:space="preserve">% of Clients who Completed Survey </v>
      </c>
      <c r="F1" t="str">
        <v>Relationship</v>
      </c>
      <c r="G1" t="str">
        <v>Goals &amp; Topics</v>
      </c>
      <c r="H1" t="str">
        <v>Approach or Method</v>
      </c>
      <c r="I1" t="str">
        <v>Overall</v>
      </c>
      <c r="L1" t="str">
        <v>Office</v>
      </c>
      <c r="M1" t="str">
        <v>Total Active Clients</v>
      </c>
      <c r="N1" t="str">
        <v>Total Surveys Completed</v>
      </c>
      <c r="O1" t="str">
        <v xml:space="preserve">% of Clients who Completed Survey </v>
      </c>
      <c r="P1" t="str">
        <v>Relationship</v>
      </c>
      <c r="Q1" t="str">
        <v>Goals &amp; Topics</v>
      </c>
      <c r="R1" t="str">
        <v>Approach or Method</v>
      </c>
      <c r="S1" t="str">
        <v>Overall</v>
      </c>
    </row>
    <row r="2">
      <c r="A2" t="str">
        <v>Amanda D</v>
      </c>
      <c r="B2" t="str">
        <v>ABQ</v>
      </c>
      <c r="D2">
        <v>3</v>
      </c>
      <c r="F2" s="1">
        <v>6.333333333333333</v>
      </c>
      <c r="G2" s="1">
        <v>6.666666666666667</v>
      </c>
      <c r="H2" s="1">
        <v>6.666666666666667</v>
      </c>
      <c r="I2" s="1">
        <v>6</v>
      </c>
      <c r="L2" t="str">
        <v>ABQ</v>
      </c>
      <c r="M2">
        <f>SUM(C2:C5)</f>
      </c>
      <c r="N2">
        <f>SUM(D2:D5)</f>
      </c>
      <c r="P2" s="1">
        <f>AVERAGE(F2:F5)</f>
      </c>
      <c r="Q2" s="1">
        <f>AVERAGE(G2:G5)</f>
      </c>
      <c r="R2" s="1">
        <f>AVERAGE(H2:H5)</f>
      </c>
      <c r="S2" s="1">
        <f>AVERAGE(I2:I5)</f>
      </c>
    </row>
    <row r="3">
      <c r="A3" t="str">
        <v>Anna</v>
      </c>
      <c r="B3" t="str">
        <v>ABQ</v>
      </c>
      <c r="D3">
        <v>5</v>
      </c>
      <c r="F3" s="1">
        <v>7.8</v>
      </c>
      <c r="G3" s="1">
        <v>7.2</v>
      </c>
      <c r="H3" s="1">
        <v>7.8</v>
      </c>
      <c r="I3" s="1">
        <v>8.4</v>
      </c>
      <c r="L3" t="str">
        <v>LL</v>
      </c>
      <c r="M3">
        <f>SUM(C6:C8)</f>
      </c>
      <c r="N3">
        <f>SUM(D6:D8)</f>
      </c>
      <c r="P3" s="1">
        <f>AVERAGE(F6:F8)</f>
      </c>
      <c r="Q3" s="1">
        <f>AVERAGE(G6:G8)</f>
      </c>
      <c r="R3" s="1">
        <f>AVERAGE(H6:H8)</f>
      </c>
      <c r="S3" s="1">
        <f>AVERAGE(I6:I8)</f>
      </c>
    </row>
    <row r="4">
      <c r="A4" t="str">
        <v>Bentley</v>
      </c>
      <c r="B4" t="str">
        <v>ABQ</v>
      </c>
      <c r="D4">
        <v>0</v>
      </c>
      <c r="L4" t="str">
        <v>RR</v>
      </c>
      <c r="M4">
        <f>SUM(C9:C10)</f>
      </c>
      <c r="N4">
        <f>SUM(D9:D10)</f>
      </c>
      <c r="P4" s="1">
        <f>AVERAGE(F9:F10)</f>
      </c>
      <c r="Q4" s="1">
        <f>AVERAGE(G9:G10)</f>
      </c>
      <c r="R4" s="1">
        <f>AVERAGE(H9:H10)</f>
      </c>
      <c r="S4" s="1">
        <f>AVERAGE(I9:I10)</f>
      </c>
    </row>
    <row r="5">
      <c r="A5" t="str">
        <v>Krista</v>
      </c>
      <c r="B5" t="str">
        <v>ABQ</v>
      </c>
      <c r="D5">
        <v>2</v>
      </c>
      <c r="F5" s="1">
        <v>6</v>
      </c>
      <c r="G5" s="1">
        <v>6.5</v>
      </c>
      <c r="H5" s="1">
        <v>5.5</v>
      </c>
      <c r="I5" s="1">
        <v>6.5</v>
      </c>
      <c r="L5" t="str">
        <v>No office</v>
      </c>
    </row>
    <row r="6">
      <c r="A6" t="str">
        <v>Amber L</v>
      </c>
      <c r="B6" t="str">
        <v>LL</v>
      </c>
      <c r="D6">
        <v>1</v>
      </c>
      <c r="F6" s="1">
        <v>10</v>
      </c>
      <c r="G6" s="1">
        <v>9</v>
      </c>
      <c r="H6" s="1">
        <v>10</v>
      </c>
      <c r="I6" s="1">
        <v>10</v>
      </c>
      <c r="L6" t="str">
        <v>Total</v>
      </c>
      <c r="M6">
        <f>C11</f>
      </c>
      <c r="N6">
        <f>D11</f>
      </c>
      <c r="P6" s="1">
        <f>F11</f>
      </c>
      <c r="Q6" s="1">
        <f>G11</f>
      </c>
      <c r="R6" s="1">
        <f>H11</f>
      </c>
      <c r="S6" s="1">
        <f>I11</f>
      </c>
    </row>
    <row r="7">
      <c r="A7" t="str">
        <v>Jill</v>
      </c>
      <c r="B7" t="str">
        <v>LL</v>
      </c>
      <c r="D7">
        <v>3</v>
      </c>
      <c r="F7" s="1">
        <v>5.333333333333333</v>
      </c>
      <c r="G7" s="1">
        <v>5.666666666666667</v>
      </c>
      <c r="H7" s="1">
        <v>4.666666666666667</v>
      </c>
      <c r="I7" s="1">
        <v>5</v>
      </c>
    </row>
    <row r="8">
      <c r="A8" t="str">
        <v>Kristi</v>
      </c>
      <c r="B8" t="str">
        <v>LL</v>
      </c>
      <c r="D8">
        <v>0</v>
      </c>
    </row>
    <row r="9">
      <c r="A9" t="str">
        <v>Ginger</v>
      </c>
      <c r="B9" t="str">
        <v>RR</v>
      </c>
      <c r="D9">
        <v>3</v>
      </c>
      <c r="F9" s="1">
        <v>0.3333333333333333</v>
      </c>
      <c r="G9" s="1">
        <v>0.3333333333333333</v>
      </c>
      <c r="H9" s="1">
        <v>1</v>
      </c>
      <c r="I9" s="1">
        <v>0.3333333333333333</v>
      </c>
      <c r="L9" t="str">
        <v>Reporting period</v>
      </c>
      <c r="M9" t="str">
        <v>2026-07-01 to 2026-09-30</v>
      </c>
    </row>
    <row r="10">
      <c r="A10" t="str">
        <v>Renee</v>
      </c>
      <c r="B10" t="str">
        <v>RR</v>
      </c>
      <c r="D10">
        <v>2</v>
      </c>
      <c r="F10" s="1">
        <v>5.5</v>
      </c>
      <c r="G10" s="1">
        <v>6</v>
      </c>
      <c r="H10" s="1">
        <v>5.5</v>
      </c>
      <c r="I10" s="1">
        <v>5.5</v>
      </c>
      <c r="L10" t="str">
        <v>Generated</v>
      </c>
      <c r="M10" t="str">
        <v>2026-09-13 20:27 UTC</v>
      </c>
    </row>
    <row r="11">
      <c r="A11" t="str">
        <v>Total</v>
      </c>
      <c r="C11">
        <f>SUM(C2:C10)</f>
      </c>
      <c r="D11">
        <f>SUM(D2:D10)</f>
      </c>
      <c r="F11" s="1">
        <f>AVERAGE(F2:F10)</f>
      </c>
      <c r="G11" s="1">
        <f>AVERAGE(G2:G10)</f>
      </c>
      <c r="H11" s="1">
        <f>AVERAGE(H2:H10)</f>
      </c>
      <c r="I11" s="1">
        <f>AVERAGE(I2:I10)</f>
      </c>
    </row>
    <row r="12">
      <c r="L12" t="str">
        <v>Total Active Clients</v>
      </c>
      <c r="M12" t="str">
        <v>Not yet available. It comes from TherapyNotes and nothing pulls it into the CRM yet, so this column and the % of Clients who Completed Survey column are both left blank.</v>
      </c>
    </row>
  </sheetData>
  <mergeCells count="1">
    <mergeCell ref="M12:R12"/>
  </mergeCells>
  <ignoredErrors>
    <ignoredError numberStoredAsText="1" sqref="A1:S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27"/>
  <sheetViews>
    <sheetView workbookViewId="0"/>
  </sheetViews>
  <cols>
    <col min="1" max="1" width="11.83203125" customWidth="1"/>
    <col min="2" max="2" width="11.83203125" customWidth="1"/>
    <col min="3" max="3" width="11.83203125" customWidth="1"/>
    <col min="4" max="4" width="9.83203125" customWidth="1"/>
    <col min="5" max="5" width="17.83203125" customWidth="1"/>
    <col min="6" max="6" width="24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11.83203125" customWidth="1"/>
    <col min="12" max="12" width="11.83203125" customWidth="1"/>
    <col min="13" max="13" width="9.83203125" customWidth="1"/>
    <col min="14" max="14" width="17.83203125" customWidth="1"/>
    <col min="15" max="15" width="24.83203125" customWidth="1"/>
    <col min="16" max="16" width="9.83203125" customWidth="1"/>
  </cols>
  <sheetData>
    <row r="1">
      <c r="A1" t="str">
        <v>IN PERSON</v>
      </c>
      <c r="J1" t="str">
        <v>TELEHEALTH</v>
      </c>
    </row>
    <row r="3">
      <c r="A3" t="str">
        <v>Was the facility clean and inviting?</v>
      </c>
      <c r="J3" t="str">
        <v>How satisfied were you with the Telehealth platform or telephone for your session?</v>
      </c>
    </row>
    <row r="4">
      <c r="A4" t="str">
        <v>Office</v>
      </c>
      <c r="B4" t="str">
        <v>Excellent</v>
      </c>
      <c r="C4" t="str">
        <v>Satisfied</v>
      </c>
      <c r="D4" t="str">
        <v>Neutral</v>
      </c>
      <c r="E4" t="str">
        <v>Could be better</v>
      </c>
      <c r="F4" t="str">
        <v>Needs improvement immediately</v>
      </c>
      <c r="J4" t="str">
        <v>Office</v>
      </c>
      <c r="K4" t="str">
        <v>Excellent</v>
      </c>
      <c r="L4" t="str">
        <v>Satisfied</v>
      </c>
      <c r="M4" t="str">
        <v>Neutral</v>
      </c>
      <c r="N4" t="str">
        <v>Could be better</v>
      </c>
      <c r="O4" t="str">
        <v>Needs improvement immediately</v>
      </c>
    </row>
    <row r="5">
      <c r="A5" t="str">
        <v>ABQ</v>
      </c>
      <c r="B5">
        <v>2</v>
      </c>
      <c r="C5">
        <v>2</v>
      </c>
      <c r="D5">
        <v>1</v>
      </c>
      <c r="E5">
        <v>1</v>
      </c>
      <c r="F5">
        <v>1</v>
      </c>
      <c r="J5" t="str">
        <v>TH</v>
      </c>
      <c r="K5">
        <v>2</v>
      </c>
      <c r="L5">
        <v>2</v>
      </c>
      <c r="M5">
        <v>1</v>
      </c>
      <c r="N5">
        <v>2</v>
      </c>
      <c r="O5">
        <v>1</v>
      </c>
    </row>
    <row r="6">
      <c r="A6" t="str">
        <v>LL</v>
      </c>
      <c r="B6">
        <v>1</v>
      </c>
      <c r="C6">
        <v>0</v>
      </c>
      <c r="D6">
        <v>1</v>
      </c>
      <c r="E6">
        <v>1</v>
      </c>
      <c r="F6">
        <v>0</v>
      </c>
    </row>
    <row r="7">
      <c r="A7" t="str">
        <v>RR</v>
      </c>
      <c r="B7">
        <v>0</v>
      </c>
      <c r="C7">
        <v>0</v>
      </c>
      <c r="D7">
        <v>1</v>
      </c>
      <c r="E7">
        <v>1</v>
      </c>
      <c r="F7">
        <v>1</v>
      </c>
    </row>
    <row r="8">
      <c r="A8" t="str">
        <v>No office</v>
      </c>
      <c r="B8">
        <v>0</v>
      </c>
      <c r="C8">
        <v>1</v>
      </c>
      <c r="D8">
        <v>0</v>
      </c>
      <c r="E8">
        <v>0</v>
      </c>
      <c r="F8">
        <v>0</v>
      </c>
      <c r="J8" t="str">
        <v>If you had an technical difficulties, did you receive a prompt call from your provider to resolve the issue?</v>
      </c>
      <c r="N8" t="str">
        <v>Were you called within 10 minutes of your appointment time to begin your session?</v>
      </c>
    </row>
    <row r="9">
      <c r="A9" t="str">
        <v>Total</v>
      </c>
      <c r="B9">
        <f>SUM(B5:B8)</f>
      </c>
      <c r="C9">
        <f>SUM(C5:C8)</f>
      </c>
      <c r="D9">
        <f>SUM(D5:D8)</f>
      </c>
      <c r="E9">
        <f>SUM(E5:E8)</f>
      </c>
      <c r="F9">
        <f>SUM(F5:F8)</f>
      </c>
      <c r="J9" t="str">
        <v>Office</v>
      </c>
      <c r="K9" t="str">
        <v>Yes</v>
      </c>
      <c r="L9" t="str">
        <v>No</v>
      </c>
      <c r="N9" t="str">
        <v>Office</v>
      </c>
      <c r="O9" t="str">
        <v>Yes</v>
      </c>
      <c r="P9" t="str">
        <v>No</v>
      </c>
    </row>
    <row r="10">
      <c r="J10" t="str">
        <v>TH</v>
      </c>
      <c r="K10">
        <v>4</v>
      </c>
      <c r="L10">
        <v>3</v>
      </c>
      <c r="N10" t="str">
        <v>TH</v>
      </c>
      <c r="O10">
        <v>3</v>
      </c>
      <c r="P10">
        <v>3</v>
      </c>
    </row>
    <row r="12">
      <c r="A12" t="str">
        <v>We're you greeted upon arrival?</v>
      </c>
      <c r="E12" t="str">
        <v>Were you called back to a room within 10 minutes of your scheduled appointment time?</v>
      </c>
    </row>
    <row r="13">
      <c r="A13" t="str">
        <v>Office</v>
      </c>
      <c r="B13" t="str">
        <v>Yes</v>
      </c>
      <c r="C13" t="str">
        <v>No</v>
      </c>
      <c r="E13" t="str">
        <v>Office</v>
      </c>
      <c r="F13" t="str">
        <v>Yes</v>
      </c>
      <c r="G13" t="str">
        <v>No</v>
      </c>
      <c r="J13" t="str">
        <v>Did you feel your privacy was respected in this treatment format?</v>
      </c>
      <c r="N13" t="str">
        <v>Did you end session feeling like you are a value to us?</v>
      </c>
    </row>
    <row r="14">
      <c r="A14" t="str">
        <v>ABQ</v>
      </c>
      <c r="B14">
        <v>3</v>
      </c>
      <c r="C14">
        <v>2</v>
      </c>
      <c r="E14" t="str">
        <v>ABQ</v>
      </c>
      <c r="F14">
        <v>4</v>
      </c>
      <c r="G14">
        <v>2</v>
      </c>
      <c r="J14" t="str">
        <v>Office</v>
      </c>
      <c r="K14" t="str">
        <v>Yes</v>
      </c>
      <c r="L14" t="str">
        <v>No</v>
      </c>
      <c r="N14" t="str">
        <v>Office</v>
      </c>
      <c r="O14" t="str">
        <v>Yes</v>
      </c>
      <c r="P14" t="str">
        <v>No</v>
      </c>
    </row>
    <row r="15">
      <c r="A15" t="str">
        <v>LL</v>
      </c>
      <c r="B15">
        <v>2</v>
      </c>
      <c r="C15">
        <v>1</v>
      </c>
      <c r="E15" t="str">
        <v>LL</v>
      </c>
      <c r="F15">
        <v>2</v>
      </c>
      <c r="G15">
        <v>0</v>
      </c>
      <c r="J15" t="str">
        <v>TH</v>
      </c>
      <c r="K15">
        <v>5</v>
      </c>
      <c r="L15">
        <v>2</v>
      </c>
      <c r="N15" t="str">
        <v>TH</v>
      </c>
      <c r="O15">
        <v>3</v>
      </c>
      <c r="P15">
        <v>3</v>
      </c>
    </row>
    <row r="16">
      <c r="A16" t="str">
        <v>RR</v>
      </c>
      <c r="B16">
        <v>0</v>
      </c>
      <c r="C16">
        <v>2</v>
      </c>
      <c r="E16" t="str">
        <v>RR</v>
      </c>
      <c r="F16">
        <v>0</v>
      </c>
      <c r="G16">
        <v>2</v>
      </c>
    </row>
    <row r="17">
      <c r="A17" t="str">
        <v>No office</v>
      </c>
      <c r="B17">
        <v>1</v>
      </c>
      <c r="C17">
        <v>0</v>
      </c>
      <c r="E17" t="str">
        <v>No office</v>
      </c>
      <c r="F17">
        <v>1</v>
      </c>
      <c r="G17">
        <v>0</v>
      </c>
    </row>
    <row r="18">
      <c r="A18" t="str">
        <v>Total</v>
      </c>
      <c r="B18">
        <f>SUM(B14:B17)</f>
      </c>
      <c r="C18">
        <f>SUM(C14:C17)</f>
      </c>
      <c r="E18" t="str">
        <v>Total</v>
      </c>
      <c r="F18">
        <f>SUM(F14:F17)</f>
      </c>
      <c r="G18">
        <f>SUM(G14:G17)</f>
      </c>
    </row>
    <row r="21">
      <c r="A21" t="str">
        <v>Did you feel your privacy was respected?</v>
      </c>
      <c r="E21" t="str">
        <v>Did you end session feeling like you are of value to us?</v>
      </c>
    </row>
    <row r="22">
      <c r="A22" t="str">
        <v>Office</v>
      </c>
      <c r="B22" t="str">
        <v>Yes</v>
      </c>
      <c r="C22" t="str">
        <v>No</v>
      </c>
      <c r="E22" t="str">
        <v>Office</v>
      </c>
      <c r="F22" t="str">
        <v>Yes</v>
      </c>
      <c r="G22" t="str">
        <v>No</v>
      </c>
    </row>
    <row r="23">
      <c r="A23" t="str">
        <v>ABQ</v>
      </c>
      <c r="B23">
        <v>4</v>
      </c>
      <c r="C23">
        <v>1</v>
      </c>
      <c r="E23" t="str">
        <v>ABQ</v>
      </c>
      <c r="F23">
        <v>4</v>
      </c>
      <c r="G23">
        <v>2</v>
      </c>
    </row>
    <row r="24">
      <c r="A24" t="str">
        <v>LL</v>
      </c>
      <c r="B24">
        <v>2</v>
      </c>
      <c r="C24">
        <v>1</v>
      </c>
      <c r="E24" t="str">
        <v>LL</v>
      </c>
      <c r="F24">
        <v>2</v>
      </c>
      <c r="G24">
        <v>0</v>
      </c>
    </row>
    <row r="25">
      <c r="A25" t="str">
        <v>RR</v>
      </c>
      <c r="B25">
        <v>1</v>
      </c>
      <c r="C25">
        <v>2</v>
      </c>
      <c r="E25" t="str">
        <v>RR</v>
      </c>
      <c r="F25">
        <v>1</v>
      </c>
      <c r="G25">
        <v>2</v>
      </c>
    </row>
    <row r="26">
      <c r="A26" t="str">
        <v>No office</v>
      </c>
      <c r="B26">
        <v>1</v>
      </c>
      <c r="C26">
        <v>0</v>
      </c>
      <c r="E26" t="str">
        <v>No office</v>
      </c>
      <c r="F26">
        <v>1</v>
      </c>
      <c r="G26">
        <v>0</v>
      </c>
    </row>
    <row r="27">
      <c r="A27" t="str">
        <v>Total</v>
      </c>
      <c r="B27">
        <f>SUM(B23:B26)</f>
      </c>
      <c r="C27">
        <f>SUM(C23:C26)</f>
      </c>
      <c r="E27" t="str">
        <v>Total</v>
      </c>
      <c r="F27">
        <f>SUM(F23:F26)</f>
      </c>
      <c r="G27">
        <f>SUM(G23:G26)</f>
      </c>
    </row>
  </sheetData>
  <mergeCells count="10">
    <mergeCell ref="A3:F3"/>
    <mergeCell ref="A12:C12"/>
    <mergeCell ref="E12:G12"/>
    <mergeCell ref="A21:C21"/>
    <mergeCell ref="E21:G21"/>
    <mergeCell ref="J3:O3"/>
    <mergeCell ref="J8:L8"/>
    <mergeCell ref="N8:P8"/>
    <mergeCell ref="J13:L13"/>
    <mergeCell ref="N13:P13"/>
  </mergeCells>
  <ignoredErrors>
    <ignoredError numberStoredAsText="1" sqref="A1:P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65"/>
  <sheetViews>
    <sheetView workbookViewId="0"/>
  </sheetViews>
  <cols>
    <col min="1" max="1" width="10.83203125" customWidth="1"/>
    <col min="2" max="2" width="10.83203125" customWidth="1"/>
    <col min="3" max="3" width="22.83203125" customWidth="1"/>
    <col min="4" max="4" width="31.83203125" customWidth="1"/>
    <col min="5" max="5" width="60.83203125" customWidth="1"/>
    <col min="6" max="6" width="9.83203125" customWidth="1"/>
    <col min="7" max="7" width="9.83203125" customWidth="1"/>
    <col min="8" max="8" width="9.83203125" customWidth="1"/>
    <col min="9" max="9" width="10.83203125" customWidth="1"/>
    <col min="10" max="10" width="22.83203125" customWidth="1"/>
    <col min="11" max="11" width="31.83203125" customWidth="1"/>
    <col min="12" max="12" width="41.83203125" customWidth="1"/>
    <col min="13" max="13" width="9.83203125" customWidth="1"/>
  </cols>
  <sheetData>
    <row r="1">
      <c r="A1" t="str">
        <v>IN-PERSON NEUTRALS OR BELOW</v>
      </c>
      <c r="I1" t="str">
        <v>TELEHEALTH NEUTRALS OR BELOW</v>
      </c>
    </row>
    <row r="2">
      <c r="A2" t="str">
        <v>Was the facility clean and inviting?</v>
      </c>
      <c r="I2" t="str">
        <v>How satisfied were you with the Telehealth platform or telephone for your session?</v>
      </c>
    </row>
    <row r="3">
      <c r="A3" t="str">
        <v>Total "Neutral" responses</v>
      </c>
      <c r="F3">
        <v>3</v>
      </c>
      <c r="I3" t="str">
        <v>Total "Neutral" responses</v>
      </c>
      <c r="M3">
        <v>1</v>
      </c>
    </row>
    <row r="4">
      <c r="A4" t="str">
        <v>Total "Could be better" responses</v>
      </c>
      <c r="F4">
        <v>3</v>
      </c>
      <c r="I4" t="str">
        <v>Total "Could be better" responses</v>
      </c>
      <c r="M4">
        <v>2</v>
      </c>
    </row>
    <row r="5">
      <c r="A5" t="str">
        <v>Total "Needs improvement immediately" responses</v>
      </c>
      <c r="F5">
        <v>2</v>
      </c>
      <c r="I5" t="str">
        <v>Total "Needs improvement immediately" responses</v>
      </c>
      <c r="M5">
        <v>1</v>
      </c>
    </row>
    <row r="6">
      <c r="A6" t="str">
        <v>Location</v>
      </c>
      <c r="B6" t="str">
        <v>Provider</v>
      </c>
      <c r="C6" t="str">
        <v>Client Name</v>
      </c>
      <c r="D6" t="str">
        <v>Response</v>
      </c>
      <c r="E6" t="str">
        <v>Comments</v>
      </c>
      <c r="I6" t="str">
        <v>Provider</v>
      </c>
      <c r="J6" t="str">
        <v>Client Name</v>
      </c>
      <c r="K6" t="str">
        <v>Response</v>
      </c>
      <c r="L6" t="str">
        <v>Comments</v>
      </c>
    </row>
    <row r="7">
      <c r="A7" t="str">
        <v>ABQ</v>
      </c>
      <c r="B7" t="str">
        <v>Anna</v>
      </c>
      <c r="C7" t="str">
        <v>Barnaby Quillfeather</v>
      </c>
      <c r="D7" t="str">
        <v>Neutral</v>
      </c>
      <c r="E7" t="str">
        <v>Lobby was a bit tired — carpets need a clean, and the café sign is crooked.</v>
      </c>
      <c r="I7" t="str">
        <v>Krista</v>
      </c>
      <c r="J7" t="str">
        <v>Aurelius Binswick</v>
      </c>
      <c r="K7" t="str">
        <v>Neutral</v>
      </c>
      <c r="L7" t="str">
        <v>Audio kept cutting out.</v>
      </c>
    </row>
    <row r="8" xml:space="preserve">
      <c r="A8" t="str">
        <v>ABQ</v>
      </c>
      <c r="B8" t="str">
        <v>Anna</v>
      </c>
      <c r="C8" t="str">
        <v>Odette Marchbanks</v>
      </c>
      <c r="D8" t="str">
        <v>Could be better</v>
      </c>
      <c r="E8" t="str" xml:space="preserve">
        <v xml:space="preserve">Bathroom ran out of soap twice.
Otherwise fine.
Staff were kind.</v>
      </c>
      <c r="I8" t="str">
        <v>Jill</v>
      </c>
      <c r="J8" t="str">
        <v>Drusilla Hobbleton</v>
      </c>
      <c r="K8" t="str">
        <v>Could be better</v>
      </c>
    </row>
    <row r="9">
      <c r="A9" t="str">
        <v>ABQ</v>
      </c>
      <c r="B9" t="str">
        <v>Amanda D</v>
      </c>
      <c r="C9" t="str">
        <v>Casimir Underhill</v>
      </c>
      <c r="D9" t="str">
        <v>Needs improvement immediately</v>
      </c>
      <c r="E9" t="str">
        <v>The waiting room chairs are past their best and the magazines are from another decade. I have mentioned it at reception twice. The waiting room chairs are past their best and the magazines are from another decade. I have mentioned it at reception twice. The waiting room chairs are past their best and the magazines are from another decade. I have mentioned it at reception twice. The waiting room chairs are past their best and the magazines are from another decade. I have mentioned it at reception twice. The waiting room chairs are past their best and the magazines are from another decade. I have mentioned it at reception twice. The waiting room chairs are past their best and the magazines are from another decade. I have mentioned it at reception twice. The waiting room chairs are past their best and the magazines are from another decade. I have mentioned it at reception twice. The waiting room chairs are past their best and the magazines are from another decade. I have mentioned it at r</v>
      </c>
      <c r="I9" t="str">
        <v>Renee</v>
      </c>
      <c r="J9" t="str">
        <v>Cornelius Wrenfield</v>
      </c>
      <c r="K9" t="str">
        <v>Needs improvement immediately</v>
      </c>
      <c r="L9" t="str">
        <v>Could never get the link to work.</v>
      </c>
    </row>
    <row r="10">
      <c r="A10" t="str">
        <v>LL</v>
      </c>
      <c r="B10" t="str">
        <v>Jill</v>
      </c>
      <c r="C10" t="str">
        <v>Clementine Roswold</v>
      </c>
      <c r="D10" t="str">
        <v>Neutral</v>
      </c>
      <c r="I10" t="str">
        <v>Ginger</v>
      </c>
      <c r="J10" t="str">
        <v>Ambrose Fitchett</v>
      </c>
      <c r="K10" t="str">
        <v>Could be better</v>
      </c>
      <c r="L10" t="str">
        <v>The platform is the worst part of this.</v>
      </c>
    </row>
    <row r="11">
      <c r="A11" t="str">
        <v>LL</v>
      </c>
      <c r="B11" t="str">
        <v>Jill</v>
      </c>
      <c r="C11" t="str">
        <v>Horatio Pennyquick</v>
      </c>
      <c r="D11" t="str">
        <v>Could be better</v>
      </c>
    </row>
    <row r="12">
      <c r="A12" t="str">
        <v>RR</v>
      </c>
      <c r="B12" t="str">
        <v>Ginger</v>
      </c>
      <c r="C12" t="str">
        <v>Bartholomew Kettleby</v>
      </c>
      <c r="D12" t="str">
        <v>Needs improvement immediately</v>
      </c>
      <c r="E12" t="str">
        <v>Waiting room was not clean.</v>
      </c>
    </row>
    <row r="13">
      <c r="A13" t="str">
        <v>RR</v>
      </c>
      <c r="B13" t="str">
        <v>Ginger</v>
      </c>
      <c r="C13" t="str">
        <v>Lavinia Crowhurst</v>
      </c>
      <c r="D13" t="str">
        <v>Could be better</v>
      </c>
      <c r="I13" t="str">
        <v>If you had an technical difficulties, did you receive a prompt call from your provider to resolve the issue?</v>
      </c>
    </row>
    <row r="14">
      <c r="A14" t="str">
        <v>RR</v>
      </c>
      <c r="B14" t="str">
        <v>Amber M</v>
      </c>
      <c r="C14" t="str">
        <v>Percival Oakhame</v>
      </c>
      <c r="D14" t="str">
        <v>Neutral</v>
      </c>
      <c r="I14" t="str">
        <v>Total "No" responses</v>
      </c>
      <c r="M14">
        <v>3</v>
      </c>
    </row>
    <row r="15">
      <c r="I15" t="str">
        <v>Total "N/A" responses</v>
      </c>
      <c r="M15">
        <v>1</v>
      </c>
    </row>
    <row r="16">
      <c r="I16" t="str">
        <v>Provider</v>
      </c>
      <c r="J16" t="str">
        <v>Client Name</v>
      </c>
      <c r="K16" t="str">
        <v>Response</v>
      </c>
      <c r="L16" t="str">
        <v>Comments</v>
      </c>
    </row>
    <row r="17">
      <c r="A17" t="str">
        <v>We're you greeted upon arrival?</v>
      </c>
      <c r="I17" t="str">
        <v>Amanda D</v>
      </c>
      <c r="J17" t="str">
        <v>Millicent Farrowgate</v>
      </c>
      <c r="K17" t="str">
        <v>No</v>
      </c>
      <c r="L17" t="str">
        <v>No call back when the video dropped.</v>
      </c>
    </row>
    <row r="18">
      <c r="A18" t="str">
        <v>Total "No" responses</v>
      </c>
      <c r="F18">
        <v>5</v>
      </c>
      <c r="I18" t="str">
        <v>Krista</v>
      </c>
      <c r="J18" t="str">
        <v>Aurelius Binswick</v>
      </c>
      <c r="K18" t="str">
        <v>N/A</v>
      </c>
    </row>
    <row r="19">
      <c r="A19" t="str">
        <v>Total "N/A" responses</v>
      </c>
      <c r="F19">
        <v>3</v>
      </c>
      <c r="I19" t="str">
        <v>Renee</v>
      </c>
      <c r="J19" t="str">
        <v>Cornelius Wrenfield</v>
      </c>
      <c r="K19" t="str">
        <v>No</v>
      </c>
    </row>
    <row r="20">
      <c r="A20" t="str">
        <v>Location</v>
      </c>
      <c r="B20" t="str">
        <v>Provider</v>
      </c>
      <c r="C20" t="str">
        <v>Client Name</v>
      </c>
      <c r="D20" t="str">
        <v>Response</v>
      </c>
      <c r="E20" t="str">
        <v>Comments</v>
      </c>
      <c r="I20" t="str">
        <v>Ginger</v>
      </c>
      <c r="J20" t="str">
        <v>Ambrose Fitchett</v>
      </c>
      <c r="K20" t="str">
        <v>No</v>
      </c>
      <c r="L20" t="str">
        <v>Nobody rang back.</v>
      </c>
    </row>
    <row r="21">
      <c r="A21" t="str">
        <v>ABQ</v>
      </c>
      <c r="B21" t="str">
        <v>Anna</v>
      </c>
      <c r="C21" t="str">
        <v>Marigold Thistleby</v>
      </c>
      <c r="D21" t="str">
        <v>No</v>
      </c>
      <c r="E21" t="str">
        <v>No one at the desk when I arrived.</v>
      </c>
    </row>
    <row r="22">
      <c r="A22" t="str">
        <v>ABQ</v>
      </c>
      <c r="B22" t="str">
        <v>Anna</v>
      </c>
      <c r="C22" t="str">
        <v>Barnaby Quillfeather</v>
      </c>
      <c r="D22" t="str">
        <v>N/A</v>
      </c>
    </row>
    <row r="23">
      <c r="A23" t="str">
        <v>ABQ</v>
      </c>
      <c r="B23" t="str">
        <v>Amanda D</v>
      </c>
      <c r="C23" t="str">
        <v>Casimir Underhill</v>
      </c>
      <c r="D23" t="str">
        <v>No</v>
      </c>
      <c r="I23" t="str">
        <v>Were you called within 10 minutes of your appointment time to begin your session?</v>
      </c>
    </row>
    <row r="24">
      <c r="A24" t="str">
        <v>ABQ</v>
      </c>
      <c r="B24" t="str">
        <v>Krista</v>
      </c>
      <c r="C24" t="str">
        <v>Ignatius Fernwhistle</v>
      </c>
      <c r="D24" t="str">
        <v>N/A</v>
      </c>
      <c r="I24" t="str">
        <v>Total "No" responses</v>
      </c>
      <c r="M24">
        <v>3</v>
      </c>
    </row>
    <row r="25">
      <c r="A25" t="str">
        <v>LL</v>
      </c>
      <c r="B25" t="str">
        <v>Jill</v>
      </c>
      <c r="C25" t="str">
        <v>Horatio Pennyquick</v>
      </c>
      <c r="D25" t="str">
        <v>No</v>
      </c>
      <c r="I25" t="str">
        <v>Total "N/A" responses</v>
      </c>
      <c r="M25">
        <v>2</v>
      </c>
    </row>
    <row r="26">
      <c r="A26" t="str">
        <v>RR</v>
      </c>
      <c r="B26" t="str">
        <v>Ginger</v>
      </c>
      <c r="C26" t="str">
        <v>Bartholomew Kettleby</v>
      </c>
      <c r="D26" t="str">
        <v>No</v>
      </c>
      <c r="I26" t="str">
        <v>Provider</v>
      </c>
      <c r="J26" t="str">
        <v>Client Name</v>
      </c>
      <c r="K26" t="str">
        <v>Response</v>
      </c>
      <c r="L26" t="str">
        <v>Comments</v>
      </c>
    </row>
    <row r="27">
      <c r="A27" t="str">
        <v>RR</v>
      </c>
      <c r="B27" t="str">
        <v>Ginger</v>
      </c>
      <c r="C27" t="str">
        <v>Lavinia Crowhurst</v>
      </c>
      <c r="D27" t="str">
        <v>No</v>
      </c>
      <c r="I27" t="str">
        <v>Krista</v>
      </c>
      <c r="J27" t="str">
        <v>Aurelius Binswick</v>
      </c>
      <c r="K27" t="str">
        <v>N/A</v>
      </c>
    </row>
    <row r="28">
      <c r="A28" t="str">
        <v>RR</v>
      </c>
      <c r="B28" t="str">
        <v>Amber M</v>
      </c>
      <c r="C28" t="str">
        <v>Percival Oakhame</v>
      </c>
      <c r="D28" t="str">
        <v>N/A</v>
      </c>
      <c r="I28" t="str">
        <v>Jill</v>
      </c>
      <c r="J28" t="str">
        <v>Drusilla Hobbleton</v>
      </c>
      <c r="K28" t="str">
        <v>No</v>
      </c>
    </row>
    <row r="29">
      <c r="I29" t="str">
        <v>Renee</v>
      </c>
      <c r="J29" t="str">
        <v>Cornelius Wrenfield</v>
      </c>
      <c r="K29" t="str">
        <v>No</v>
      </c>
    </row>
    <row r="30">
      <c r="I30" t="str">
        <v>Ginger</v>
      </c>
      <c r="J30" t="str">
        <v>Ambrose Fitchett</v>
      </c>
      <c r="K30" t="str">
        <v>No</v>
      </c>
      <c r="L30" t="str">
        <v>Started late again.</v>
      </c>
    </row>
    <row r="31">
      <c r="A31" t="str">
        <v>Were you called back to a room within 10 minutes of your scheduled appointment time?</v>
      </c>
      <c r="I31" t="str">
        <v>Amber M</v>
      </c>
      <c r="J31" t="str">
        <v>Hyacinth Blenkinsop</v>
      </c>
      <c r="K31" t="str">
        <v>N/A</v>
      </c>
    </row>
    <row r="32">
      <c r="A32" t="str">
        <v>Total "No" responses</v>
      </c>
      <c r="F32">
        <v>4</v>
      </c>
    </row>
    <row r="33">
      <c r="A33" t="str">
        <v>Total "N/A" responses</v>
      </c>
      <c r="F33">
        <v>3</v>
      </c>
    </row>
    <row r="34">
      <c r="A34" t="str">
        <v>Location</v>
      </c>
      <c r="B34" t="str">
        <v>Provider</v>
      </c>
      <c r="C34" t="str">
        <v>Client Name</v>
      </c>
      <c r="D34" t="str">
        <v>Response</v>
      </c>
      <c r="E34" t="str">
        <v>Comments</v>
      </c>
      <c r="I34" t="str">
        <v>Did you feel your privacy was respected in this treatment format?</v>
      </c>
    </row>
    <row r="35">
      <c r="A35" t="str">
        <v>ABQ</v>
      </c>
      <c r="B35" t="str">
        <v>Anna</v>
      </c>
      <c r="C35" t="str">
        <v>Marigold Thistleby</v>
      </c>
      <c r="D35" t="str">
        <v>N/A</v>
      </c>
      <c r="I35" t="str">
        <v>Total "No" responses</v>
      </c>
      <c r="M35">
        <v>2</v>
      </c>
    </row>
    <row r="36">
      <c r="A36" t="str">
        <v>ABQ</v>
      </c>
      <c r="B36" t="str">
        <v>Anna</v>
      </c>
      <c r="C36" t="str">
        <v>Barnaby Quillfeather</v>
      </c>
      <c r="D36" t="str">
        <v>No</v>
      </c>
      <c r="I36" t="str">
        <v>Total "N/A" responses</v>
      </c>
      <c r="M36">
        <v>1</v>
      </c>
    </row>
    <row r="37">
      <c r="A37" t="str">
        <v>ABQ</v>
      </c>
      <c r="B37" t="str">
        <v>Amanda D</v>
      </c>
      <c r="C37" t="str">
        <v>Casimir Underhill</v>
      </c>
      <c r="D37" t="str">
        <v>No</v>
      </c>
      <c r="I37" t="str">
        <v>Provider</v>
      </c>
      <c r="J37" t="str">
        <v>Client Name</v>
      </c>
      <c r="K37" t="str">
        <v>Response</v>
      </c>
      <c r="L37" t="str">
        <v>Comments</v>
      </c>
    </row>
    <row r="38">
      <c r="A38" t="str">
        <v>LL</v>
      </c>
      <c r="B38" t="str">
        <v>Jill</v>
      </c>
      <c r="C38" t="str">
        <v>Clementine Roswold</v>
      </c>
      <c r="D38" t="str">
        <v>N/A</v>
      </c>
      <c r="I38" t="str">
        <v>Krista</v>
      </c>
      <c r="J38" t="str">
        <v>Aurelius Binswick</v>
      </c>
      <c r="K38" t="str">
        <v>N/A</v>
      </c>
    </row>
    <row r="39">
      <c r="A39" t="str">
        <v>RR</v>
      </c>
      <c r="B39" t="str">
        <v>Ginger</v>
      </c>
      <c r="C39" t="str">
        <v>Bartholomew Kettleby</v>
      </c>
      <c r="D39" t="str">
        <v>No</v>
      </c>
      <c r="I39" t="str">
        <v>Renee</v>
      </c>
      <c r="J39" t="str">
        <v>Cornelius Wrenfield</v>
      </c>
      <c r="K39" t="str">
        <v>No</v>
      </c>
    </row>
    <row r="40">
      <c r="A40" t="str">
        <v>RR</v>
      </c>
      <c r="B40" t="str">
        <v>Ginger</v>
      </c>
      <c r="C40" t="str">
        <v>Lavinia Crowhurst</v>
      </c>
      <c r="D40" t="str">
        <v>N/A</v>
      </c>
      <c r="I40" t="str">
        <v>Ginger</v>
      </c>
      <c r="J40" t="str">
        <v>Ambrose Fitchett</v>
      </c>
      <c r="K40" t="str">
        <v>No</v>
      </c>
      <c r="L40" t="str">
        <v>I could hear another conversation.</v>
      </c>
    </row>
    <row r="41">
      <c r="A41" t="str">
        <v>RR</v>
      </c>
      <c r="B41" t="str">
        <v>Amber M</v>
      </c>
      <c r="C41" t="str">
        <v>Percival Oakhame</v>
      </c>
      <c r="D41" t="str">
        <v>No</v>
      </c>
      <c r="E41" t="str">
        <v>Waited about 25 minutes.</v>
      </c>
    </row>
    <row r="43">
      <c r="I43" t="str">
        <v>Did you end session feeling like you are a value to us?</v>
      </c>
    </row>
    <row r="44">
      <c r="A44" t="str">
        <v>Did you feel your privacy was respected?</v>
      </c>
      <c r="I44" t="str">
        <v>Total "No" responses</v>
      </c>
      <c r="M44">
        <v>3</v>
      </c>
    </row>
    <row r="45">
      <c r="A45" t="str">
        <v>Total "No" responses</v>
      </c>
      <c r="F45">
        <v>4</v>
      </c>
      <c r="I45" t="str">
        <v>Total "N/A" responses</v>
      </c>
      <c r="M45">
        <v>2</v>
      </c>
    </row>
    <row r="46">
      <c r="A46" t="str">
        <v>Total "N/A" responses</v>
      </c>
      <c r="F46">
        <v>2</v>
      </c>
      <c r="I46" t="str">
        <v>Provider</v>
      </c>
      <c r="J46" t="str">
        <v>Client Name</v>
      </c>
      <c r="K46" t="str">
        <v>Response</v>
      </c>
      <c r="L46" t="str">
        <v>Comments</v>
      </c>
    </row>
    <row r="47">
      <c r="A47" t="str">
        <v>Location</v>
      </c>
      <c r="B47" t="str">
        <v>Provider</v>
      </c>
      <c r="C47" t="str">
        <v>Client Name</v>
      </c>
      <c r="D47" t="str">
        <v>Response</v>
      </c>
      <c r="E47" t="str">
        <v>Comments</v>
      </c>
      <c r="I47" t="str">
        <v>Krista</v>
      </c>
      <c r="J47" t="str">
        <v>Aurelius Binswick</v>
      </c>
      <c r="K47" t="str">
        <v>N/A</v>
      </c>
    </row>
    <row r="48">
      <c r="A48" t="str">
        <v>ABQ</v>
      </c>
      <c r="B48" t="str">
        <v>Anna</v>
      </c>
      <c r="C48" t="str">
        <v>Barnaby Quillfeather</v>
      </c>
      <c r="D48" t="str">
        <v>No</v>
      </c>
      <c r="I48" t="str">
        <v>Jill</v>
      </c>
      <c r="J48" t="str">
        <v>Drusilla Hobbleton</v>
      </c>
      <c r="K48" t="str">
        <v>No</v>
      </c>
    </row>
    <row r="49">
      <c r="A49" t="str">
        <v>ABQ</v>
      </c>
      <c r="B49" t="str">
        <v>Amanda D</v>
      </c>
      <c r="C49" t="str">
        <v>Casimir Underhill</v>
      </c>
      <c r="D49" t="str">
        <v>N/A</v>
      </c>
      <c r="I49" t="str">
        <v>Renee</v>
      </c>
      <c r="J49" t="str">
        <v>Cornelius Wrenfield</v>
      </c>
      <c r="K49" t="str">
        <v>No</v>
      </c>
    </row>
    <row r="50">
      <c r="A50" t="str">
        <v>ABQ</v>
      </c>
      <c r="B50" t="str">
        <v>Krista</v>
      </c>
      <c r="C50" t="str">
        <v>Ignatius Fernwhistle</v>
      </c>
      <c r="D50" t="str">
        <v>N/A</v>
      </c>
      <c r="I50" t="str">
        <v>Ginger</v>
      </c>
      <c r="J50" t="str">
        <v>Ambrose Fitchett</v>
      </c>
      <c r="K50" t="str">
        <v>No</v>
      </c>
      <c r="L50" t="str">
        <v>Did not feel like a priority.</v>
      </c>
    </row>
    <row r="51">
      <c r="A51" t="str">
        <v>LL</v>
      </c>
      <c r="B51" t="str">
        <v>Jill</v>
      </c>
      <c r="C51" t="str">
        <v>Horatio Pennyquick</v>
      </c>
      <c r="D51" t="str">
        <v>No</v>
      </c>
      <c r="I51" t="str">
        <v>Amber M</v>
      </c>
      <c r="J51" t="str">
        <v>Hyacinth Blenkinsop</v>
      </c>
      <c r="K51" t="str">
        <v>N/A</v>
      </c>
    </row>
    <row r="52">
      <c r="A52" t="str">
        <v>RR</v>
      </c>
      <c r="B52" t="str">
        <v>Ginger</v>
      </c>
      <c r="C52" t="str">
        <v>Bartholomew Kettleby</v>
      </c>
      <c r="D52" t="str">
        <v>No</v>
      </c>
    </row>
    <row r="53">
      <c r="A53" t="str">
        <v>RR</v>
      </c>
      <c r="B53" t="str">
        <v>Ginger</v>
      </c>
      <c r="C53" t="str">
        <v>Lavinia Crowhurst</v>
      </c>
      <c r="D53" t="str">
        <v>No</v>
      </c>
    </row>
    <row r="56">
      <c r="A56" t="str">
        <v>Did you end session feeling like you are of value to us?</v>
      </c>
    </row>
    <row r="57">
      <c r="A57" t="str">
        <v>Total "No" responses</v>
      </c>
      <c r="F57">
        <v>4</v>
      </c>
    </row>
    <row r="58">
      <c r="A58" t="str">
        <v>Total "N/A" responses</v>
      </c>
      <c r="F58">
        <v>2</v>
      </c>
    </row>
    <row r="59">
      <c r="A59" t="str">
        <v>Location</v>
      </c>
      <c r="B59" t="str">
        <v>Provider</v>
      </c>
      <c r="C59" t="str">
        <v>Client Name</v>
      </c>
      <c r="D59" t="str">
        <v>Response</v>
      </c>
      <c r="E59" t="str">
        <v>Comments</v>
      </c>
    </row>
    <row r="60">
      <c r="A60" t="str">
        <v>ABQ</v>
      </c>
      <c r="B60" t="str">
        <v>Anna</v>
      </c>
      <c r="C60" t="str">
        <v>Marigold Thistleby</v>
      </c>
      <c r="D60" t="str">
        <v>No</v>
      </c>
    </row>
    <row r="61">
      <c r="A61" t="str">
        <v>ABQ</v>
      </c>
      <c r="B61" t="str">
        <v>Anna</v>
      </c>
      <c r="C61" t="str">
        <v>Barnaby Quillfeather</v>
      </c>
      <c r="D61" t="str">
        <v>N/A</v>
      </c>
    </row>
    <row r="62">
      <c r="A62" t="str">
        <v>ABQ</v>
      </c>
      <c r="B62" t="str">
        <v>Amanda D</v>
      </c>
      <c r="C62" t="str">
        <v>Casimir Underhill</v>
      </c>
      <c r="D62" t="str">
        <v>No</v>
      </c>
    </row>
    <row r="63">
      <c r="A63" t="str">
        <v>LL</v>
      </c>
      <c r="B63" t="str">
        <v>Jill</v>
      </c>
      <c r="C63" t="str">
        <v>Horatio Pennyquick</v>
      </c>
      <c r="D63" t="str">
        <v>N/A</v>
      </c>
      <c r="E63" t="str">
        <v>Felt rushed at checkout.</v>
      </c>
    </row>
    <row r="64">
      <c r="A64" t="str">
        <v>RR</v>
      </c>
      <c r="B64" t="str">
        <v>Ginger</v>
      </c>
      <c r="C64" t="str">
        <v>Bartholomew Kettleby</v>
      </c>
      <c r="D64" t="str">
        <v>No</v>
      </c>
    </row>
    <row r="65">
      <c r="A65" t="str">
        <v>RR</v>
      </c>
      <c r="B65" t="str">
        <v>Ginger</v>
      </c>
      <c r="C65" t="str">
        <v>Lavinia Crowhurst</v>
      </c>
      <c r="D65" t="str">
        <v>No</v>
      </c>
    </row>
  </sheetData>
  <mergeCells count="32">
    <mergeCell ref="A2:F2"/>
    <mergeCell ref="A3:E3"/>
    <mergeCell ref="A4:E4"/>
    <mergeCell ref="A5:E5"/>
    <mergeCell ref="A17:F17"/>
    <mergeCell ref="A18:E18"/>
    <mergeCell ref="A19:E19"/>
    <mergeCell ref="A31:F31"/>
    <mergeCell ref="A32:E32"/>
    <mergeCell ref="A33:E33"/>
    <mergeCell ref="A44:F44"/>
    <mergeCell ref="A45:E45"/>
    <mergeCell ref="A46:E46"/>
    <mergeCell ref="A56:F56"/>
    <mergeCell ref="A57:E57"/>
    <mergeCell ref="A58:E58"/>
    <mergeCell ref="I2:M2"/>
    <mergeCell ref="I3:L3"/>
    <mergeCell ref="I4:L4"/>
    <mergeCell ref="I5:L5"/>
    <mergeCell ref="I13:M13"/>
    <mergeCell ref="I14:L14"/>
    <mergeCell ref="I15:L15"/>
    <mergeCell ref="I23:M23"/>
    <mergeCell ref="I24:L24"/>
    <mergeCell ref="I25:L25"/>
    <mergeCell ref="I34:M34"/>
    <mergeCell ref="I35:L35"/>
    <mergeCell ref="I36:L36"/>
    <mergeCell ref="I43:M43"/>
    <mergeCell ref="I44:L44"/>
    <mergeCell ref="I45:L45"/>
  </mergeCells>
  <ignoredErrors>
    <ignoredError numberStoredAsText="1" sqref="A1:M6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cols>
    <col min="1" max="1" width="22.83203125" customWidth="1"/>
    <col min="2" max="2" width="60.83203125" customWidth="1"/>
    <col min="3" max="3" width="31.83203125" customWidth="1"/>
    <col min="4" max="4" width="60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</cols>
  <sheetData>
    <row r="1">
      <c r="B1" t="str">
        <v>Office</v>
      </c>
      <c r="C1" t="str">
        <v>ABQ</v>
      </c>
    </row>
    <row r="2">
      <c r="B2" t="str">
        <v>Amanda D</v>
      </c>
    </row>
    <row r="3">
      <c r="B3" t="str">
        <v>Total Surveys Completed</v>
      </c>
      <c r="C3">
        <v>3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6">
      <c r="B6" s="1">
        <v>6.333333333333333</v>
      </c>
      <c r="C6" s="1">
        <v>6.666666666666667</v>
      </c>
      <c r="D6" s="1">
        <v>6.666666666666667</v>
      </c>
      <c r="E6" s="1">
        <v>6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  <row r="9">
      <c r="A9" t="str">
        <v>Casimir Underhill</v>
      </c>
      <c r="B9" t="str">
        <v>Was the facility clean and inviting?</v>
      </c>
      <c r="C9" t="str">
        <v>Needs improvement immediately</v>
      </c>
      <c r="D9" t="str">
        <v>The waiting room chairs are past their best and the magazines are from another decade. I have mentioned it at reception twice. The waiting room chairs are past their best and the magazines are from another decade. I have mentioned it at reception twice. The waiting room chairs are past their best and the magazines are from another decade. I have mentioned it at reception twice. The waiting room chairs are past their best and the magazines are from another decade. I have mentioned it at reception twice. The waiting room chairs are past their best and the magazines are from another decade. I have mentioned it at reception twice. The waiting room chairs are past their best and the magazines are from another decade. I have mentioned it at reception twice. The waiting room chairs are past their best and the magazines are from another decade. I have mentioned it at reception twice. The waiting room chairs are past their best and the magazines are from another decade. I have mentioned it at r</v>
      </c>
    </row>
    <row r="10">
      <c r="A10" t="str">
        <v>Millicent Farrowgate</v>
      </c>
      <c r="B10" t="str">
        <v>If you had an technical difficulties, did you receive a prompt call from your provider to resolve the issue?</v>
      </c>
      <c r="C10" t="str">
        <v>No</v>
      </c>
      <c r="D10" t="str">
        <v>No call back when the video dropped.</v>
      </c>
    </row>
  </sheetData>
  <mergeCells count="4">
    <mergeCell ref="B2:E2"/>
    <mergeCell ref="D8:K8"/>
    <mergeCell ref="D9:K9"/>
    <mergeCell ref="D10:K10"/>
  </mergeCells>
  <ignoredErrors>
    <ignoredError numberStoredAsText="1" sqref="A1:K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cols>
    <col min="1" max="1" width="22.83203125" customWidth="1"/>
    <col min="2" max="2" width="60.83203125" customWidth="1"/>
    <col min="3" max="3" width="17.83203125" customWidth="1"/>
    <col min="4" max="4" width="60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</cols>
  <sheetData>
    <row r="1">
      <c r="B1" t="str">
        <v>Office</v>
      </c>
      <c r="C1" t="str">
        <v>ABQ</v>
      </c>
    </row>
    <row r="2">
      <c r="B2" t="str">
        <v>Anna</v>
      </c>
    </row>
    <row r="3">
      <c r="B3" t="str">
        <v>Total Surveys Completed</v>
      </c>
      <c r="C3">
        <v>5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6">
      <c r="B6" s="1">
        <v>7.8</v>
      </c>
      <c r="C6" s="1">
        <v>7.2</v>
      </c>
      <c r="D6" s="1">
        <v>7.8</v>
      </c>
      <c r="E6" s="1">
        <v>8.4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  <row r="9">
      <c r="A9" t="str">
        <v>Marigold Thistleby</v>
      </c>
      <c r="B9" t="str">
        <v>We're you greeted upon arrival?</v>
      </c>
      <c r="C9" t="str">
        <v>No</v>
      </c>
      <c r="D9" t="str">
        <v>No one at the desk when I arrived.</v>
      </c>
    </row>
    <row r="10">
      <c r="A10" t="str">
        <v>Marigold Thistleby</v>
      </c>
      <c r="B10" t="str">
        <v>On a scale of 0-10, how would you rate your session overall? 0- There was something missing in session &amp; 10- Overall session was right for me</v>
      </c>
      <c r="C10">
        <v>9</v>
      </c>
      <c r="D10" t="str">
        <v>Very happy overall.</v>
      </c>
    </row>
    <row r="11">
      <c r="A11" t="str">
        <v>Barnaby Quillfeather</v>
      </c>
      <c r="B11" t="str">
        <v>Was the facility clean and inviting?</v>
      </c>
      <c r="C11" t="str">
        <v>Neutral</v>
      </c>
      <c r="D11" t="str">
        <v>Lobby was a bit tired — carpets need a clean, and the café sign is crooked.</v>
      </c>
    </row>
    <row r="12">
      <c r="A12" t="str">
        <v>Barnaby Quillfeather</v>
      </c>
      <c r="B12" t="str">
        <v>On a scale of 0-10 how would you rate your connection with your therapist? 0-Not being heard, understood or respected &amp; 10- Felt heard, understood, and respected</v>
      </c>
      <c r="C12">
        <v>5</v>
      </c>
      <c r="D12" t="str">
        <v>It's been up and down, honestly.</v>
      </c>
    </row>
    <row r="13" xml:space="preserve">
      <c r="A13" t="str">
        <v>Odette Marchbanks</v>
      </c>
      <c r="B13" t="str">
        <v>Was the facility clean and inviting?</v>
      </c>
      <c r="C13" t="str">
        <v>Could be better</v>
      </c>
      <c r="D13" t="str" xml:space="preserve">
        <v xml:space="preserve">Bathroom ran out of soap twice.
Otherwise fine.
Staff were kind.</v>
      </c>
    </row>
  </sheetData>
  <mergeCells count="7">
    <mergeCell ref="B2:E2"/>
    <mergeCell ref="D8:K8"/>
    <mergeCell ref="D9:K9"/>
    <mergeCell ref="D10:K10"/>
    <mergeCell ref="D11:K11"/>
    <mergeCell ref="D12:K12"/>
    <mergeCell ref="D13:K13"/>
  </mergeCells>
  <ignoredErrors>
    <ignoredError numberStoredAsText="1" sqref="A1:K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cols>
    <col min="1" max="1" width="9.83203125" customWidth="1"/>
    <col min="2" max="2" width="24.83203125" customWidth="1"/>
    <col min="3" max="3" width="16.83203125" customWidth="1"/>
    <col min="4" max="4" width="20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</cols>
  <sheetData>
    <row r="1">
      <c r="B1" t="str">
        <v>Office</v>
      </c>
      <c r="C1" t="str">
        <v>ABQ</v>
      </c>
    </row>
    <row r="2">
      <c r="B2" t="str">
        <v>Bentley</v>
      </c>
    </row>
    <row r="3">
      <c r="B3" t="str">
        <v>Total Surveys Completed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</sheetData>
  <mergeCells count="2">
    <mergeCell ref="B2:E2"/>
    <mergeCell ref="D8:K8"/>
  </mergeCells>
  <ignoredErrors>
    <ignoredError numberStoredAsText="1" sqref="A1:K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cols>
    <col min="1" max="1" width="19.83203125" customWidth="1"/>
    <col min="2" max="2" width="60.83203125" customWidth="1"/>
    <col min="3" max="3" width="16.83203125" customWidth="1"/>
    <col min="4" max="4" width="25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</cols>
  <sheetData>
    <row r="1">
      <c r="B1" t="str">
        <v>Office</v>
      </c>
      <c r="C1" t="str">
        <v>ABQ</v>
      </c>
    </row>
    <row r="2">
      <c r="B2" t="str">
        <v>Krista</v>
      </c>
    </row>
    <row r="3">
      <c r="B3" t="str">
        <v>Total Surveys Completed</v>
      </c>
      <c r="C3">
        <v>2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6">
      <c r="B6" s="1">
        <v>6</v>
      </c>
      <c r="C6" s="1">
        <v>6.5</v>
      </c>
      <c r="D6" s="1">
        <v>5.5</v>
      </c>
      <c r="E6" s="1">
        <v>6.5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  <row r="9">
      <c r="A9" t="str">
        <v>Aurelius Binswick</v>
      </c>
      <c r="B9" t="str">
        <v>How satisfied were you with the Telehealth platform or telephone for your session?</v>
      </c>
      <c r="C9" t="str">
        <v>Neutral</v>
      </c>
      <c r="D9" t="str">
        <v>Audio kept cutting out.</v>
      </c>
    </row>
  </sheetData>
  <mergeCells count="3">
    <mergeCell ref="B2:E2"/>
    <mergeCell ref="D8:K8"/>
    <mergeCell ref="D9:K9"/>
  </mergeCells>
  <ignoredErrors>
    <ignoredError numberStoredAsText="1" sqref="A1:K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cols>
    <col min="1" max="1" width="9.83203125" customWidth="1"/>
    <col min="2" max="2" width="24.83203125" customWidth="1"/>
    <col min="3" max="3" width="16.83203125" customWidth="1"/>
    <col min="4" max="4" width="20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</cols>
  <sheetData>
    <row r="1">
      <c r="B1" t="str">
        <v>Office</v>
      </c>
      <c r="C1" t="str">
        <v>LL</v>
      </c>
    </row>
    <row r="2">
      <c r="B2" t="str">
        <v>Amber L</v>
      </c>
    </row>
    <row r="3">
      <c r="B3" t="str">
        <v>Total Surveys Completed</v>
      </c>
      <c r="C3">
        <v>1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6">
      <c r="B6" s="1">
        <v>10</v>
      </c>
      <c r="C6" s="1">
        <v>9</v>
      </c>
      <c r="D6" s="1">
        <v>10</v>
      </c>
      <c r="E6" s="1">
        <v>10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</sheetData>
  <mergeCells count="2">
    <mergeCell ref="B2:E2"/>
    <mergeCell ref="D8:K8"/>
  </mergeCells>
  <ignoredErrors>
    <ignoredError numberStoredAsText="1" sqref="A1:K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cols>
    <col min="1" max="1" width="20.83203125" customWidth="1"/>
    <col min="2" max="2" width="58.83203125" customWidth="1"/>
    <col min="3" max="3" width="16.83203125" customWidth="1"/>
    <col min="4" max="4" width="26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</cols>
  <sheetData>
    <row r="1">
      <c r="B1" t="str">
        <v>Office</v>
      </c>
      <c r="C1" t="str">
        <v>LL</v>
      </c>
    </row>
    <row r="2">
      <c r="B2" t="str">
        <v>Jill</v>
      </c>
    </row>
    <row r="3">
      <c r="B3" t="str">
        <v>Total Surveys Completed</v>
      </c>
      <c r="C3">
        <v>3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6">
      <c r="B6" s="1">
        <v>5.333333333333333</v>
      </c>
      <c r="C6" s="1">
        <v>5.666666666666667</v>
      </c>
      <c r="D6" s="1">
        <v>4.666666666666667</v>
      </c>
      <c r="E6" s="1">
        <v>5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  <row r="9">
      <c r="A9" t="str">
        <v>Horatio Pennyquick</v>
      </c>
      <c r="B9" t="str">
        <v>Did you end session feeling like you are of value to us?</v>
      </c>
      <c r="C9" t="str">
        <v>N/A</v>
      </c>
      <c r="D9" t="str">
        <v>Felt rushed at checkout.</v>
      </c>
    </row>
  </sheetData>
  <mergeCells count="3">
    <mergeCell ref="B2:E2"/>
    <mergeCell ref="D8:K8"/>
    <mergeCell ref="D9:K9"/>
  </mergeCells>
  <ignoredErrors>
    <ignoredError numberStoredAsText="1" sqref="A1:K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cols>
    <col min="1" max="1" width="9.83203125" customWidth="1"/>
    <col min="2" max="2" width="24.83203125" customWidth="1"/>
    <col min="3" max="3" width="16.83203125" customWidth="1"/>
    <col min="4" max="4" width="20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</cols>
  <sheetData>
    <row r="1">
      <c r="B1" t="str">
        <v>Office</v>
      </c>
      <c r="C1" t="str">
        <v>LL</v>
      </c>
    </row>
    <row r="2">
      <c r="B2" t="str">
        <v>Kristi</v>
      </c>
    </row>
    <row r="3">
      <c r="B3" t="str">
        <v>Total Surveys Completed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</sheetData>
  <mergeCells count="2">
    <mergeCell ref="B2:E2"/>
    <mergeCell ref="D8:K8"/>
  </mergeCells>
  <ignoredErrors>
    <ignoredError numberStoredAsText="1" sqref="A1:K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cols>
    <col min="1" max="1" width="22.83203125" customWidth="1"/>
    <col min="2" max="2" width="60.83203125" customWidth="1"/>
    <col min="3" max="3" width="31.83203125" customWidth="1"/>
    <col min="4" max="4" width="41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</cols>
  <sheetData>
    <row r="1">
      <c r="B1" t="str">
        <v>Office</v>
      </c>
      <c r="C1" t="str">
        <v>RR</v>
      </c>
    </row>
    <row r="2">
      <c r="B2" t="str">
        <v>Ginger</v>
      </c>
    </row>
    <row r="3">
      <c r="B3" t="str">
        <v>Total Surveys Completed</v>
      </c>
      <c r="C3">
        <v>3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6">
      <c r="B6" s="1">
        <v>0.3333333333333333</v>
      </c>
      <c r="C6" s="1">
        <v>0.3333333333333333</v>
      </c>
      <c r="D6" s="1">
        <v>1</v>
      </c>
      <c r="E6" s="1">
        <v>0.3333333333333333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  <row r="9">
      <c r="A9" t="str">
        <v>Bartholomew Kettleby</v>
      </c>
      <c r="B9" t="str">
        <v>Was the facility clean and inviting?</v>
      </c>
      <c r="C9" t="str">
        <v>Needs improvement immediately</v>
      </c>
      <c r="D9" t="str">
        <v>Waiting room was not clean.</v>
      </c>
    </row>
    <row r="10">
      <c r="A10" t="str">
        <v>Bartholomew Kettleby</v>
      </c>
      <c r="B10" t="str">
        <v>On a scale of 0-10 how would you rate your connection with your therapist? 0-Not being heard, understood or respected &amp; 10- Felt heard, understood, and respected</v>
      </c>
      <c r="C10">
        <v>0</v>
      </c>
      <c r="D10" t="str">
        <v>I did not feel heard at all.</v>
      </c>
    </row>
    <row r="11">
      <c r="A11" t="str">
        <v>Bartholomew Kettleby</v>
      </c>
      <c r="B11" t="str">
        <v>On a scale of 0-10, how would you rate your session overall? 0- There was something missing in session &amp; 10- Overall session was right for me</v>
      </c>
      <c r="C11">
        <v>0</v>
      </c>
      <c r="D11" t="str">
        <v>Considering going elsewhere.</v>
      </c>
    </row>
    <row r="12">
      <c r="A12" t="str">
        <v>Lavinia Crowhurst</v>
      </c>
      <c r="B12" t="str">
        <v>On a scale of 0-10, how would you rate your therapist's approach or methods? 0- The approach is not a good fit for me &amp; 10-The approach is a good fit for me</v>
      </c>
      <c r="C12">
        <v>2</v>
      </c>
      <c r="D12" t="str">
        <v>The approach has not worked for me.</v>
      </c>
    </row>
    <row r="13">
      <c r="A13" t="str">
        <v>Ambrose Fitchett</v>
      </c>
      <c r="B13" t="str">
        <v>How satisfied were you with the Telehealth platform or telephone for your session?</v>
      </c>
      <c r="C13" t="str">
        <v>Could be better</v>
      </c>
      <c r="D13" t="str">
        <v>The platform is the worst part of this.</v>
      </c>
    </row>
    <row r="14">
      <c r="A14" t="str">
        <v>Ambrose Fitchett</v>
      </c>
      <c r="B14" t="str">
        <v>If you had an technical difficulties, did you receive a prompt call from your provider to resolve the issue?</v>
      </c>
      <c r="C14" t="str">
        <v>No</v>
      </c>
      <c r="D14" t="str">
        <v>Nobody rang back.</v>
      </c>
    </row>
    <row r="15">
      <c r="A15" t="str">
        <v>Ambrose Fitchett</v>
      </c>
      <c r="B15" t="str">
        <v>Were you called within 10 minutes of your appointment time to begin your session?</v>
      </c>
      <c r="C15" t="str">
        <v>No</v>
      </c>
      <c r="D15" t="str">
        <v>Started late again.</v>
      </c>
    </row>
    <row r="16">
      <c r="A16" t="str">
        <v>Ambrose Fitchett</v>
      </c>
      <c r="B16" t="str">
        <v>Did you feel your privacy was respected in this treatment format?</v>
      </c>
      <c r="C16" t="str">
        <v>No</v>
      </c>
      <c r="D16" t="str">
        <v>I could hear another conversation.</v>
      </c>
    </row>
    <row r="17">
      <c r="A17" t="str">
        <v>Ambrose Fitchett</v>
      </c>
      <c r="B17" t="str">
        <v>Did you end session feeling like you are a value to us?</v>
      </c>
      <c r="C17" t="str">
        <v>No</v>
      </c>
      <c r="D17" t="str">
        <v>Did not feel like a priority.</v>
      </c>
    </row>
    <row r="18">
      <c r="A18" t="str">
        <v>Ambrose Fitchett</v>
      </c>
      <c r="B18" t="str">
        <v>On a scale of 0-10, how would you rate your connection with your therapist? 0-Not being heard, understood or respected &amp; 10- Felt heard, understood, and respected</v>
      </c>
      <c r="C18">
        <v>0</v>
      </c>
      <c r="D18" t="str">
        <v>We have not clicked.</v>
      </c>
    </row>
    <row r="19">
      <c r="A19" t="str">
        <v>Ambrose Fitchett</v>
      </c>
      <c r="B19" t="str">
        <v>On a scale of 0-10, how would you rate your goals and topics for session? 0-Did not work or talk about goals &amp; 10-Worked or talked about goals</v>
      </c>
      <c r="C19">
        <v>0</v>
      </c>
      <c r="D19" t="str">
        <v>We have never written down a goal.</v>
      </c>
    </row>
    <row r="20">
      <c r="A20" t="str">
        <v>Ambrose Fitchett</v>
      </c>
      <c r="B20" t="str">
        <v>On a scale of 0-10, how would you rate your therapist's approach or methods? 0- The approach is not a good fit for me &amp; 10-The approach is a good fit for me</v>
      </c>
      <c r="C20">
        <v>1</v>
      </c>
      <c r="D20" t="str">
        <v>The approach is not for me.</v>
      </c>
    </row>
    <row r="21">
      <c r="A21" t="str">
        <v>Ambrose Fitchett</v>
      </c>
      <c r="B21" t="str">
        <v>On a scale of 0-10, how would you rate your session overall? 0- There was something missing in session &amp; 10- Overall session was right for me</v>
      </c>
      <c r="C21">
        <v>0</v>
      </c>
      <c r="D21" t="str">
        <v>I am considering other options.</v>
      </c>
    </row>
    <row r="22">
      <c r="A22" t="str">
        <v>Ambrose Fitchett</v>
      </c>
      <c r="B22" t="str">
        <v>Would you like our team to follow up with you regarding your survey?</v>
      </c>
      <c r="C22" t="str">
        <v>Yes</v>
      </c>
      <c r="D22" t="str">
        <v>Yes please, someone call me.</v>
      </c>
    </row>
  </sheetData>
  <mergeCells count="16">
    <mergeCell ref="B2:E2"/>
    <mergeCell ref="D8:K8"/>
    <mergeCell ref="D9:K9"/>
    <mergeCell ref="D10:K10"/>
    <mergeCell ref="D11:K11"/>
    <mergeCell ref="D12:K12"/>
    <mergeCell ref="D13:K13"/>
    <mergeCell ref="D14:K14"/>
    <mergeCell ref="D15:K15"/>
    <mergeCell ref="D16:K16"/>
    <mergeCell ref="D17:K17"/>
    <mergeCell ref="D18:K18"/>
    <mergeCell ref="D19:K19"/>
    <mergeCell ref="D20:K20"/>
    <mergeCell ref="D21:K21"/>
    <mergeCell ref="D22:K22"/>
  </mergeCells>
  <ignoredErrors>
    <ignoredError numberStoredAsText="1" sqref="A1:K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cols>
    <col min="1" max="1" width="21.83203125" customWidth="1"/>
    <col min="2" max="2" width="60.83203125" customWidth="1"/>
    <col min="3" max="3" width="31.83203125" customWidth="1"/>
    <col min="4" max="4" width="35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</cols>
  <sheetData>
    <row r="1">
      <c r="B1" t="str">
        <v>Office</v>
      </c>
      <c r="C1" t="str">
        <v>RR</v>
      </c>
    </row>
    <row r="2">
      <c r="B2" t="str">
        <v>Renee</v>
      </c>
    </row>
    <row r="3">
      <c r="B3" t="str">
        <v>Total Surveys Completed</v>
      </c>
      <c r="C3">
        <v>2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6">
      <c r="B6" s="1">
        <v>5.5</v>
      </c>
      <c r="C6" s="1">
        <v>6</v>
      </c>
      <c r="D6" s="1">
        <v>5.5</v>
      </c>
      <c r="E6" s="1">
        <v>5.5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  <row r="9">
      <c r="A9" t="str">
        <v>Cornelius Wrenfield</v>
      </c>
      <c r="B9" t="str">
        <v>How satisfied were you with the Telehealth platform or telephone for your session?</v>
      </c>
      <c r="C9" t="str">
        <v>Needs improvement immediately</v>
      </c>
      <c r="D9" t="str">
        <v>Could never get the link to work.</v>
      </c>
    </row>
    <row r="10">
      <c r="A10" t="str">
        <v>Cornelius Wrenfield</v>
      </c>
      <c r="B10" t="str">
        <v>On a scale of 0-10, how would you rate your session overall? 0- There was something missing in session &amp; 10- Overall session was right for me</v>
      </c>
      <c r="C10">
        <v>1</v>
      </c>
      <c r="D10" t="str">
        <v>Frustrating.</v>
      </c>
    </row>
  </sheetData>
  <mergeCells count="4">
    <mergeCell ref="B2:E2"/>
    <mergeCell ref="D8:K8"/>
    <mergeCell ref="D9:K9"/>
    <mergeCell ref="D10:K10"/>
  </mergeCells>
  <ignoredErrors>
    <ignoredError numberStoredAsText="1" sqref="A1:K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Data</vt:lpstr>
      <vt:lpstr>Survey Analysis </vt:lpstr>
      <vt:lpstr>In Person and TH Ratings</vt:lpstr>
      <vt:lpstr>Neutrals and Below</vt:lpstr>
      <vt:lpstr>Amanda D</vt:lpstr>
      <vt:lpstr>Anna</vt:lpstr>
      <vt:lpstr>Bentley</vt:lpstr>
      <vt:lpstr>Krista</vt:lpstr>
      <vt:lpstr>Amber L</vt:lpstr>
      <vt:lpstr>Jill</vt:lpstr>
      <vt:lpstr>Kristi</vt:lpstr>
      <vt:lpstr>Ginger</vt:lpstr>
      <vt:lpstr>Renee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