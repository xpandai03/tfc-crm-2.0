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Survey Analysis " sheetId="2" r:id="rId2"/>
    <sheet name="In Person and TH Ratings" sheetId="3" r:id="rId3"/>
    <sheet name="Neutrals and Below" sheetId="4" r:id="rId4"/>
    <sheet name="Abena" sheetId="5" r:id="rId5"/>
    <sheet name="Amanda D" sheetId="6" r:id="rId6"/>
    <sheet name="Amanda P" sheetId="7" r:id="rId7"/>
    <sheet name="Amber L" sheetId="8" r:id="rId8"/>
    <sheet name="Angelica C" sheetId="9" r:id="rId9"/>
    <sheet name="Angelica V" sheetId="10" r:id="rId10"/>
    <sheet name="Anna" sheetId="11" r:id="rId11"/>
    <sheet name="Bentley" sheetId="12" r:id="rId12"/>
    <sheet name="Carrie" sheetId="13" r:id="rId13"/>
    <sheet name="Cindy" sheetId="14" r:id="rId14"/>
    <sheet name="Danya" sheetId="15" r:id="rId15"/>
    <sheet name="Debra" sheetId="16" r:id="rId16"/>
    <sheet name="Ginger" sheetId="17" r:id="rId17"/>
    <sheet name="Ivory" sheetId="18" r:id="rId18"/>
    <sheet name="Janet" sheetId="19" r:id="rId19"/>
    <sheet name="Jennifer" sheetId="20" r:id="rId20"/>
    <sheet name="Jill" sheetId="21" r:id="rId21"/>
    <sheet name="Kennedy" sheetId="22" r:id="rId22"/>
    <sheet name="Krista" sheetId="23" r:id="rId23"/>
    <sheet name="Kristi" sheetId="24" r:id="rId24"/>
    <sheet name="Laurel" sheetId="25" r:id="rId25"/>
    <sheet name="Liz" sheetId="26" r:id="rId26"/>
    <sheet name="Paula" sheetId="27" r:id="rId27"/>
    <sheet name="Renee" sheetId="28" r:id="rId28"/>
    <sheet name="Sandra" sheetId="29" r:id="rId29"/>
    <sheet name="Tyra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Data>
    <row r="1">
      <c r="A1" t="str">
        <v>This sheet is intentionally empty. It is meant to hold the raw survey data, but the columns for it have not been specified yet.</v>
      </c>
    </row>
  </sheetData>
  <ignoredErrors>
    <ignoredError numberStoredAsText="1" sqref="A1: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Data>
    <row r="1">
      <c r="A1" t="str">
        <v>Providers</v>
      </c>
      <c r="B1" t="str">
        <v>Office</v>
      </c>
      <c r="C1" t="str">
        <v>Total Active Clients</v>
      </c>
      <c r="D1" t="str">
        <v>Total Surveys Completed</v>
      </c>
      <c r="E1" t="str">
        <v xml:space="preserve">% of Clients who Completed Survey </v>
      </c>
      <c r="F1" t="str">
        <v>Relationship</v>
      </c>
      <c r="G1" t="str">
        <v>Goals &amp; Topics</v>
      </c>
      <c r="H1" t="str">
        <v>Approach or Method</v>
      </c>
      <c r="I1" t="str">
        <v>Overall</v>
      </c>
      <c r="L1" t="str">
        <v>Office</v>
      </c>
      <c r="M1" t="str">
        <v>Total Active Clients</v>
      </c>
      <c r="N1" t="str">
        <v>Total Surveys Completed</v>
      </c>
      <c r="O1" t="str">
        <v xml:space="preserve">% of Clients who Completed Survey </v>
      </c>
      <c r="P1" t="str">
        <v>Relationship</v>
      </c>
      <c r="Q1" t="str">
        <v>Goals &amp; Topics</v>
      </c>
      <c r="R1" t="str">
        <v>Approach or Method</v>
      </c>
      <c r="S1" t="str">
        <v>Overall</v>
      </c>
    </row>
    <row r="2">
      <c r="A2" t="str">
        <v>Amanda D</v>
      </c>
      <c r="B2" t="str">
        <v>ABQ</v>
      </c>
      <c r="D2">
        <v>5</v>
      </c>
      <c r="F2">
        <v>6.8</v>
      </c>
      <c r="G2">
        <v>7.2</v>
      </c>
      <c r="H2">
        <v>6.4</v>
      </c>
      <c r="I2">
        <v>6.4</v>
      </c>
      <c r="L2" t="str">
        <v>ABQ</v>
      </c>
      <c r="M2">
        <f>SUM(C2:C11)</f>
      </c>
      <c r="N2">
        <f>SUM(D2:D11)</f>
      </c>
      <c r="P2">
        <f>AVERAGE(F2:F11)</f>
      </c>
      <c r="Q2">
        <f>AVERAGE(G2:G11)</f>
      </c>
      <c r="R2">
        <f>AVERAGE(H2:H11)</f>
      </c>
      <c r="S2">
        <f>AVERAGE(I2:I11)</f>
      </c>
    </row>
    <row r="3">
      <c r="A3" t="str">
        <v>Angelica C</v>
      </c>
      <c r="B3" t="str">
        <v>ABQ</v>
      </c>
      <c r="D3">
        <v>7</v>
      </c>
      <c r="F3">
        <v>7.857142857142857</v>
      </c>
      <c r="G3">
        <v>7.714285714285714</v>
      </c>
      <c r="H3">
        <v>7.714285714285714</v>
      </c>
      <c r="I3">
        <v>7.714285714285714</v>
      </c>
      <c r="L3" t="str">
        <v>LL</v>
      </c>
      <c r="M3">
        <f>SUM(C12:C19)</f>
      </c>
      <c r="N3">
        <f>SUM(D12:D19)</f>
      </c>
      <c r="P3">
        <f>AVERAGE(F12:F19)</f>
      </c>
      <c r="Q3">
        <f>AVERAGE(G12:G19)</f>
      </c>
      <c r="R3">
        <f>AVERAGE(H12:H19)</f>
      </c>
      <c r="S3">
        <f>AVERAGE(I12:I19)</f>
      </c>
    </row>
    <row r="4">
      <c r="A4" t="str">
        <v>Anna</v>
      </c>
      <c r="B4" t="str">
        <v>ABQ</v>
      </c>
      <c r="D4">
        <v>1</v>
      </c>
      <c r="F4">
        <v>8</v>
      </c>
      <c r="G4">
        <v>9</v>
      </c>
      <c r="H4">
        <v>10</v>
      </c>
      <c r="I4">
        <v>9</v>
      </c>
      <c r="L4" t="str">
        <v>RR</v>
      </c>
      <c r="M4">
        <f>SUM(C20:C27)</f>
      </c>
      <c r="N4">
        <f>SUM(D20:D27)</f>
      </c>
      <c r="P4">
        <f>AVERAGE(F20:F27)</f>
      </c>
      <c r="Q4">
        <f>AVERAGE(G20:G27)</f>
      </c>
      <c r="R4">
        <f>AVERAGE(H20:H27)</f>
      </c>
      <c r="S4">
        <f>AVERAGE(I20:I27)</f>
      </c>
    </row>
    <row r="5">
      <c r="A5" t="str">
        <v>Bentley</v>
      </c>
      <c r="B5" t="str">
        <v>ABQ</v>
      </c>
      <c r="D5">
        <v>0</v>
      </c>
      <c r="L5" t="str">
        <v>Total</v>
      </c>
      <c r="M5">
        <f>C28</f>
      </c>
      <c r="N5">
        <f>D28</f>
      </c>
      <c r="P5">
        <f>F28</f>
      </c>
      <c r="Q5">
        <f>G28</f>
      </c>
      <c r="R5">
        <f>H28</f>
      </c>
      <c r="S5">
        <f>I28</f>
      </c>
    </row>
    <row r="6">
      <c r="A6" t="str">
        <v>Danya</v>
      </c>
      <c r="B6" t="str">
        <v>ABQ</v>
      </c>
      <c r="D6">
        <v>0</v>
      </c>
    </row>
    <row r="7">
      <c r="A7" t="str">
        <v>Jennifer</v>
      </c>
      <c r="B7" t="str">
        <v>ABQ</v>
      </c>
      <c r="D7">
        <v>0</v>
      </c>
    </row>
    <row r="8">
      <c r="A8" t="str">
        <v>Kennedy</v>
      </c>
      <c r="B8" t="str">
        <v>ABQ</v>
      </c>
      <c r="D8">
        <v>0</v>
      </c>
      <c r="L8" t="str">
        <v>Reporting period</v>
      </c>
      <c r="M8" t="str">
        <v>2026-07-01 to 2026-09-30</v>
      </c>
    </row>
    <row r="9">
      <c r="A9" t="str">
        <v>Krista</v>
      </c>
      <c r="B9" t="str">
        <v>ABQ</v>
      </c>
      <c r="D9">
        <v>0</v>
      </c>
      <c r="L9" t="str">
        <v>Generated</v>
      </c>
      <c r="M9" t="str">
        <v>2026-09-13 20:14 UTC</v>
      </c>
    </row>
    <row r="10">
      <c r="A10" t="str">
        <v>Sandra</v>
      </c>
      <c r="B10" t="str">
        <v>ABQ</v>
      </c>
      <c r="D10">
        <v>0</v>
      </c>
    </row>
    <row r="11">
      <c r="A11" t="str">
        <v>Tyra</v>
      </c>
      <c r="B11" t="str">
        <v>ABQ</v>
      </c>
      <c r="D11">
        <v>3</v>
      </c>
      <c r="F11">
        <v>7.333333333333333</v>
      </c>
      <c r="G11">
        <v>7.333333333333333</v>
      </c>
      <c r="H11">
        <v>7.666666666666667</v>
      </c>
      <c r="I11">
        <v>7.666666666666667</v>
      </c>
      <c r="L11" t="str">
        <v>Total Active Clients</v>
      </c>
      <c r="M11" t="str">
        <v>Not yet available. It comes from TherapyNotes and nothing pulls it into the CRM yet, so this column and the % of Clients who Completed Survey column are both left blank.</v>
      </c>
    </row>
    <row r="12">
      <c r="A12" t="str">
        <v>Amanda P</v>
      </c>
      <c r="B12" t="str">
        <v>LL</v>
      </c>
      <c r="D12">
        <v>0</v>
      </c>
    </row>
    <row r="13">
      <c r="A13" t="str">
        <v>Amber L</v>
      </c>
      <c r="B13" t="str">
        <v>LL</v>
      </c>
      <c r="D13">
        <v>3</v>
      </c>
      <c r="F13">
        <v>3.3333333333333335</v>
      </c>
      <c r="G13">
        <v>4.333333333333333</v>
      </c>
      <c r="H13">
        <v>3.3333333333333335</v>
      </c>
      <c r="I13">
        <v>3.3333333333333335</v>
      </c>
    </row>
    <row r="14">
      <c r="A14" t="str">
        <v>Carrie</v>
      </c>
      <c r="B14" t="str">
        <v>LL</v>
      </c>
      <c r="D14">
        <v>0</v>
      </c>
    </row>
    <row r="15">
      <c r="A15" t="str">
        <v>Debra</v>
      </c>
      <c r="B15" t="str">
        <v>LL</v>
      </c>
      <c r="D15">
        <v>0</v>
      </c>
    </row>
    <row r="16">
      <c r="A16" t="str">
        <v>Jill</v>
      </c>
      <c r="B16" t="str">
        <v>LL</v>
      </c>
      <c r="D16">
        <v>3</v>
      </c>
      <c r="F16">
        <v>8.333333333333334</v>
      </c>
      <c r="G16">
        <v>8.333333333333334</v>
      </c>
      <c r="H16">
        <v>8.333333333333334</v>
      </c>
      <c r="I16">
        <v>8.333333333333334</v>
      </c>
    </row>
    <row r="17">
      <c r="A17" t="str">
        <v>Kristi</v>
      </c>
      <c r="B17" t="str">
        <v>LL</v>
      </c>
      <c r="D17">
        <v>0</v>
      </c>
    </row>
    <row r="18">
      <c r="A18" t="str">
        <v>Liz</v>
      </c>
      <c r="B18" t="str">
        <v>LL</v>
      </c>
      <c r="D18">
        <v>0</v>
      </c>
    </row>
    <row r="19">
      <c r="A19" t="str">
        <v>Paula</v>
      </c>
      <c r="B19" t="str">
        <v>LL</v>
      </c>
      <c r="D19">
        <v>2</v>
      </c>
      <c r="F19">
        <v>5.5</v>
      </c>
      <c r="G19">
        <v>5</v>
      </c>
      <c r="H19">
        <v>5.5</v>
      </c>
      <c r="I19">
        <v>5</v>
      </c>
    </row>
    <row r="20">
      <c r="A20" t="str">
        <v>Abena</v>
      </c>
      <c r="B20" t="str">
        <v>RR</v>
      </c>
      <c r="D20">
        <v>0</v>
      </c>
    </row>
    <row r="21">
      <c r="A21" t="str">
        <v>Angelica V</v>
      </c>
      <c r="B21" t="str">
        <v>RR</v>
      </c>
      <c r="D21">
        <v>0</v>
      </c>
    </row>
    <row r="22">
      <c r="A22" t="str">
        <v>Cindy</v>
      </c>
      <c r="B22" t="str">
        <v>RR</v>
      </c>
      <c r="D22">
        <v>3</v>
      </c>
      <c r="F22">
        <v>6</v>
      </c>
      <c r="G22">
        <v>5.666666666666667</v>
      </c>
      <c r="H22">
        <v>6</v>
      </c>
      <c r="I22">
        <v>6.333333333333333</v>
      </c>
    </row>
    <row r="23">
      <c r="A23" t="str">
        <v>Ginger</v>
      </c>
      <c r="B23" t="str">
        <v>RR</v>
      </c>
      <c r="D23">
        <v>3</v>
      </c>
      <c r="F23">
        <v>7.333333333333333</v>
      </c>
      <c r="G23">
        <v>6.333333333333333</v>
      </c>
      <c r="H23">
        <v>7.666666666666667</v>
      </c>
      <c r="I23">
        <v>7.333333333333333</v>
      </c>
    </row>
    <row r="24">
      <c r="A24" t="str">
        <v>Ivory</v>
      </c>
      <c r="B24" t="str">
        <v>RR</v>
      </c>
      <c r="D24">
        <v>2</v>
      </c>
      <c r="F24">
        <v>4.5</v>
      </c>
      <c r="G24">
        <v>3.5</v>
      </c>
      <c r="H24">
        <v>5</v>
      </c>
      <c r="I24">
        <v>4.5</v>
      </c>
    </row>
    <row r="25">
      <c r="A25" t="str">
        <v>Janet</v>
      </c>
      <c r="B25" t="str">
        <v>RR</v>
      </c>
      <c r="D25">
        <v>0</v>
      </c>
    </row>
    <row r="26">
      <c r="A26" t="str">
        <v>Laurel</v>
      </c>
      <c r="B26" t="str">
        <v>RR</v>
      </c>
      <c r="D26">
        <v>0</v>
      </c>
    </row>
    <row r="27">
      <c r="A27" t="str">
        <v>Renee</v>
      </c>
      <c r="B27" t="str">
        <v>RR</v>
      </c>
      <c r="D27">
        <v>0</v>
      </c>
    </row>
    <row r="28">
      <c r="A28" t="str">
        <v>Total</v>
      </c>
      <c r="C28">
        <f>SUM(C2:C27)</f>
      </c>
      <c r="D28">
        <f>SUM(D2:D27)</f>
      </c>
      <c r="F28">
        <f>AVERAGE(F2:F27)</f>
      </c>
      <c r="G28">
        <f>AVERAGE(G2:G27)</f>
      </c>
      <c r="H28">
        <f>AVERAGE(H2:H27)</f>
      </c>
      <c r="I28">
        <f>AVERAGE(I2:I27)</f>
      </c>
    </row>
  </sheetData>
  <ignoredErrors>
    <ignoredError numberStoredAsText="1" sqref="A1:S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sheetData>
    <row r="1">
      <c r="A1" t="str">
        <v>IN PERSON</v>
      </c>
      <c r="I1" t="str">
        <v>TELEHEALTH</v>
      </c>
    </row>
    <row r="3">
      <c r="A3" t="str">
        <v>Was the facility clean and inviting?</v>
      </c>
      <c r="I3" t="str">
        <v>How satisfied were you with the Telehealth platform or telephone for your session?</v>
      </c>
    </row>
    <row r="4">
      <c r="A4" t="str">
        <v>Office</v>
      </c>
      <c r="B4" t="str">
        <v>Excellent</v>
      </c>
      <c r="C4" t="str">
        <v>Satisfied</v>
      </c>
      <c r="D4" t="str">
        <v>Neutral</v>
      </c>
      <c r="E4" t="str">
        <v>Could be better</v>
      </c>
      <c r="F4" t="str">
        <v>Needs improvement immediately</v>
      </c>
      <c r="I4" t="str">
        <v>Office</v>
      </c>
      <c r="J4" t="str">
        <v>Excellent</v>
      </c>
      <c r="K4" t="str">
        <v>Satisfied</v>
      </c>
      <c r="L4" t="str">
        <v>Neutral</v>
      </c>
      <c r="M4" t="str">
        <v>Could be better</v>
      </c>
      <c r="N4" t="str">
        <v>Needs improvement immediately</v>
      </c>
    </row>
    <row r="5">
      <c r="A5" t="str">
        <v>ABQ</v>
      </c>
      <c r="B5">
        <v>4</v>
      </c>
      <c r="C5">
        <v>4</v>
      </c>
      <c r="D5">
        <v>1</v>
      </c>
      <c r="E5">
        <v>2</v>
      </c>
      <c r="F5">
        <v>0</v>
      </c>
      <c r="I5" t="str">
        <v>TH</v>
      </c>
      <c r="J5">
        <v>4</v>
      </c>
      <c r="K5">
        <v>5</v>
      </c>
      <c r="L5">
        <v>3</v>
      </c>
      <c r="M5">
        <v>2</v>
      </c>
      <c r="N5">
        <v>1</v>
      </c>
    </row>
    <row r="6">
      <c r="A6" t="str">
        <v>LL</v>
      </c>
      <c r="B6">
        <v>2</v>
      </c>
      <c r="C6">
        <v>0</v>
      </c>
      <c r="D6">
        <v>0</v>
      </c>
      <c r="E6">
        <v>0</v>
      </c>
      <c r="F6">
        <v>1</v>
      </c>
    </row>
    <row r="7">
      <c r="A7" t="str">
        <v>RR</v>
      </c>
      <c r="B7">
        <v>1</v>
      </c>
      <c r="C7">
        <v>2</v>
      </c>
      <c r="D7">
        <v>1</v>
      </c>
      <c r="E7">
        <v>0</v>
      </c>
      <c r="F7">
        <v>0</v>
      </c>
    </row>
    <row r="8">
      <c r="A8" t="str">
        <v>Total</v>
      </c>
      <c r="B8">
        <f>SUM(B5:B7)</f>
      </c>
      <c r="C8">
        <f>SUM(C5:C7)</f>
      </c>
      <c r="D8">
        <f>SUM(D5:D7)</f>
      </c>
      <c r="E8">
        <f>SUM(E5:E7)</f>
      </c>
      <c r="F8">
        <f>SUM(F5:F7)</f>
      </c>
      <c r="I8" t="str">
        <v>If you had an technical difficulties, did you receive a prompt call from your provider to resolve the issue?</v>
      </c>
    </row>
    <row r="9">
      <c r="I9" t="str">
        <v>Office</v>
      </c>
      <c r="J9" t="str">
        <v>Yes</v>
      </c>
      <c r="K9" t="str">
        <v>No</v>
      </c>
    </row>
    <row r="10">
      <c r="I10" t="str">
        <v>TH</v>
      </c>
      <c r="J10">
        <v>3</v>
      </c>
      <c r="K10">
        <v>4</v>
      </c>
    </row>
    <row r="11">
      <c r="A11" t="str">
        <v>We're you greeted upon arrival?</v>
      </c>
    </row>
    <row r="12">
      <c r="A12" t="str">
        <v>Office</v>
      </c>
      <c r="B12" t="str">
        <v>Yes</v>
      </c>
      <c r="C12" t="str">
        <v>No</v>
      </c>
    </row>
    <row r="13">
      <c r="A13" t="str">
        <v>ABQ</v>
      </c>
      <c r="B13">
        <v>8</v>
      </c>
      <c r="C13">
        <v>2</v>
      </c>
      <c r="I13" t="str">
        <v>Were you called within 10 minutes of your appointment time to begin your session?</v>
      </c>
    </row>
    <row r="14">
      <c r="A14" t="str">
        <v>LL</v>
      </c>
      <c r="B14">
        <v>2</v>
      </c>
      <c r="C14">
        <v>1</v>
      </c>
      <c r="I14" t="str">
        <v>Office</v>
      </c>
      <c r="J14" t="str">
        <v>Yes</v>
      </c>
      <c r="K14" t="str">
        <v>No</v>
      </c>
    </row>
    <row r="15">
      <c r="A15" t="str">
        <v>RR</v>
      </c>
      <c r="B15">
        <v>3</v>
      </c>
      <c r="C15">
        <v>1</v>
      </c>
      <c r="I15" t="str">
        <v>TH</v>
      </c>
      <c r="J15">
        <v>11</v>
      </c>
      <c r="K15">
        <v>2</v>
      </c>
    </row>
    <row r="16">
      <c r="A16" t="str">
        <v>Total</v>
      </c>
      <c r="B16">
        <f>SUM(B13:B15)</f>
      </c>
      <c r="C16">
        <f>SUM(C13:C15)</f>
      </c>
    </row>
    <row r="18">
      <c r="I18" t="str">
        <v>Did you feel your privacy was respected in this treatment format?</v>
      </c>
    </row>
    <row r="19">
      <c r="A19" t="str">
        <v>Were you called back to a room within 10 minutes of your scheduled appointment time?</v>
      </c>
      <c r="I19" t="str">
        <v>Office</v>
      </c>
      <c r="J19" t="str">
        <v>Yes</v>
      </c>
      <c r="K19" t="str">
        <v>No</v>
      </c>
    </row>
    <row r="20">
      <c r="A20" t="str">
        <v>Office</v>
      </c>
      <c r="B20" t="str">
        <v>Yes</v>
      </c>
      <c r="C20" t="str">
        <v>No</v>
      </c>
      <c r="I20" t="str">
        <v>TH</v>
      </c>
      <c r="J20">
        <v>12</v>
      </c>
      <c r="K20">
        <v>2</v>
      </c>
    </row>
    <row r="21">
      <c r="A21" t="str">
        <v>ABQ</v>
      </c>
      <c r="B21">
        <v>10</v>
      </c>
      <c r="C21">
        <v>1</v>
      </c>
    </row>
    <row r="22">
      <c r="A22" t="str">
        <v>LL</v>
      </c>
      <c r="B22">
        <v>1</v>
      </c>
      <c r="C22">
        <v>1</v>
      </c>
    </row>
    <row r="23">
      <c r="A23" t="str">
        <v>RR</v>
      </c>
      <c r="B23">
        <v>2</v>
      </c>
      <c r="C23">
        <v>1</v>
      </c>
      <c r="I23" t="str">
        <v>Did you end session feeling like you are a value to us?</v>
      </c>
    </row>
    <row r="24">
      <c r="A24" t="str">
        <v>Total</v>
      </c>
      <c r="B24">
        <f>SUM(B21:B23)</f>
      </c>
      <c r="C24">
        <f>SUM(C21:C23)</f>
      </c>
      <c r="I24" t="str">
        <v>Office</v>
      </c>
      <c r="J24" t="str">
        <v>Yes</v>
      </c>
      <c r="K24" t="str">
        <v>No</v>
      </c>
    </row>
    <row r="25">
      <c r="I25" t="str">
        <v>TH</v>
      </c>
      <c r="J25">
        <v>13</v>
      </c>
      <c r="K25">
        <v>1</v>
      </c>
    </row>
    <row r="27">
      <c r="A27" t="str">
        <v>Did you feel your privacy was respected?</v>
      </c>
    </row>
    <row r="28">
      <c r="A28" t="str">
        <v>Office</v>
      </c>
      <c r="B28" t="str">
        <v>Yes</v>
      </c>
      <c r="C28" t="str">
        <v>No</v>
      </c>
    </row>
    <row r="29">
      <c r="A29" t="str">
        <v>ABQ</v>
      </c>
      <c r="B29">
        <v>10</v>
      </c>
      <c r="C29">
        <v>1</v>
      </c>
    </row>
    <row r="30">
      <c r="A30" t="str">
        <v>LL</v>
      </c>
      <c r="B30">
        <v>2</v>
      </c>
      <c r="C30">
        <v>1</v>
      </c>
    </row>
    <row r="31">
      <c r="A31" t="str">
        <v>RR</v>
      </c>
      <c r="B31">
        <v>2</v>
      </c>
      <c r="C31">
        <v>1</v>
      </c>
    </row>
    <row r="32">
      <c r="A32" t="str">
        <v>Total</v>
      </c>
      <c r="B32">
        <f>SUM(B29:B31)</f>
      </c>
      <c r="C32">
        <f>SUM(C29:C31)</f>
      </c>
    </row>
    <row r="35">
      <c r="A35" t="str">
        <v>Did you end session feeling like you are of value to us?</v>
      </c>
    </row>
    <row r="36">
      <c r="A36" t="str">
        <v>Office</v>
      </c>
      <c r="B36" t="str">
        <v>Yes</v>
      </c>
      <c r="C36" t="str">
        <v>No</v>
      </c>
    </row>
    <row r="37">
      <c r="A37" t="str">
        <v>ABQ</v>
      </c>
      <c r="B37">
        <v>10</v>
      </c>
      <c r="C37">
        <v>0</v>
      </c>
    </row>
    <row r="38">
      <c r="A38" t="str">
        <v>LL</v>
      </c>
      <c r="B38">
        <v>2</v>
      </c>
      <c r="C38">
        <v>1</v>
      </c>
    </row>
    <row r="39">
      <c r="A39" t="str">
        <v>RR</v>
      </c>
      <c r="B39">
        <v>2</v>
      </c>
      <c r="C39">
        <v>1</v>
      </c>
    </row>
    <row r="40">
      <c r="A40" t="str">
        <v>Total</v>
      </c>
      <c r="B40">
        <f>SUM(B37:B39)</f>
      </c>
      <c r="C40">
        <f>SUM(C37:C39)</f>
      </c>
    </row>
  </sheetData>
  <mergeCells count="10">
    <mergeCell ref="A3:F3"/>
    <mergeCell ref="A11:C11"/>
    <mergeCell ref="A19:C19"/>
    <mergeCell ref="A27:C27"/>
    <mergeCell ref="A35:C35"/>
    <mergeCell ref="I3:N3"/>
    <mergeCell ref="I8:K8"/>
    <mergeCell ref="I13:K13"/>
    <mergeCell ref="I18:K18"/>
    <mergeCell ref="I23:K23"/>
  </mergeCells>
  <ignoredErrors>
    <ignoredError numberStoredAsText="1" sqref="A1:N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sheetData>
    <row r="1">
      <c r="A1" t="str">
        <v>IN-PERSON NEUTRALS OR BELOW</v>
      </c>
      <c r="H1" t="str">
        <v>TELEHEALTH NEUTRALS OR BELOW</v>
      </c>
    </row>
    <row r="2">
      <c r="A2" t="str">
        <v>Was the facility clean and inviting?</v>
      </c>
      <c r="H2" t="str">
        <v>How satisfied were you with the Telehealth platform or telephone for your session?</v>
      </c>
    </row>
    <row r="3">
      <c r="A3" t="str">
        <v>Total "Neutral" responses</v>
      </c>
      <c r="D3">
        <v>2</v>
      </c>
      <c r="H3" t="str">
        <v>Total "Neutral" responses</v>
      </c>
      <c r="K3">
        <v>3</v>
      </c>
    </row>
    <row r="4">
      <c r="A4" t="str">
        <v>Total "Could be better" responses</v>
      </c>
      <c r="D4">
        <v>2</v>
      </c>
      <c r="H4" t="str">
        <v>Total "Could be better" responses</v>
      </c>
      <c r="K4">
        <v>2</v>
      </c>
    </row>
    <row r="5">
      <c r="A5" t="str">
        <v>Total "Needs improvement immediately" responses</v>
      </c>
      <c r="D5">
        <v>1</v>
      </c>
      <c r="H5" t="str">
        <v>Total "Needs improvement immediately" responses</v>
      </c>
      <c r="K5">
        <v>1</v>
      </c>
    </row>
    <row r="6">
      <c r="A6" t="str">
        <v>Location</v>
      </c>
      <c r="B6" t="str">
        <v>Provider</v>
      </c>
      <c r="C6" t="str">
        <v>Client Name</v>
      </c>
      <c r="D6" t="str">
        <v>Response</v>
      </c>
      <c r="E6" t="str">
        <v>Comments</v>
      </c>
      <c r="H6" t="str">
        <v>Provider</v>
      </c>
      <c r="I6" t="str">
        <v>Client Name</v>
      </c>
      <c r="J6" t="str">
        <v>Response</v>
      </c>
      <c r="K6" t="str">
        <v>Comments</v>
      </c>
    </row>
    <row r="7">
      <c r="A7" t="str">
        <v>ABQ</v>
      </c>
      <c r="B7" t="str">
        <v>Amanda D</v>
      </c>
      <c r="C7" t="str">
        <v>Molina Healthcare of NM</v>
      </c>
      <c r="D7" t="str">
        <v>Neutral</v>
      </c>
      <c r="H7" t="str">
        <v>Amber</v>
      </c>
      <c r="I7" t="str">
        <v>as</v>
      </c>
      <c r="J7" t="str">
        <v>Neutral</v>
      </c>
    </row>
    <row r="8">
      <c r="A8" t="str">
        <v>ABQ</v>
      </c>
      <c r="B8" t="str">
        <v>Amanda D</v>
      </c>
      <c r="C8" t="str">
        <v>ZZTEST-Jae Proxy</v>
      </c>
      <c r="D8" t="str">
        <v>Could be better</v>
      </c>
      <c r="H8" t="str">
        <v>Amber L</v>
      </c>
      <c r="I8" t="str">
        <v>ZZTEST-Umar Testworth</v>
      </c>
      <c r="J8" t="str">
        <v>Neutral</v>
      </c>
    </row>
    <row r="9">
      <c r="A9" t="str">
        <v>RR</v>
      </c>
      <c r="B9" t="str">
        <v>Ivory</v>
      </c>
      <c r="C9" t="str">
        <v>ZZTEST-Gus Stubbs</v>
      </c>
      <c r="D9" t="str">
        <v>Neutral</v>
      </c>
      <c r="H9" t="str">
        <v>Amanda D</v>
      </c>
      <c r="I9" t="str">
        <v>ZZTEST-Rune Dummy</v>
      </c>
      <c r="J9" t="str">
        <v>Could be better</v>
      </c>
    </row>
    <row r="10">
      <c r="A10" t="str">
        <v>LL</v>
      </c>
      <c r="B10" t="str">
        <v>Amber L</v>
      </c>
      <c r="C10" t="str">
        <v>ZZTEST-Dov Fixture</v>
      </c>
      <c r="D10" t="str">
        <v>Needs improvement immediately</v>
      </c>
      <c r="H10" t="str">
        <v>Ivory</v>
      </c>
      <c r="I10" t="str">
        <v>ZZTEST-Pax Nonexistent</v>
      </c>
      <c r="J10" t="str">
        <v>Neutral</v>
      </c>
    </row>
    <row r="11">
      <c r="A11" t="str">
        <v>ABQ</v>
      </c>
      <c r="B11" t="str">
        <v>Angelica C</v>
      </c>
      <c r="C11" t="str">
        <v>ZZTEST-Bruno Sampleton</v>
      </c>
      <c r="D11" t="str">
        <v>Could be better</v>
      </c>
      <c r="H11" t="str">
        <v>Paula</v>
      </c>
      <c r="I11" t="str">
        <v>ZZTEST-Nils Synthetic</v>
      </c>
      <c r="J11" t="str">
        <v>Needs improvement immediately</v>
      </c>
    </row>
    <row r="12">
      <c r="H12" t="str">
        <v>Amber L</v>
      </c>
      <c r="I12" t="str">
        <v>ZZTEST-Lorne Notreal</v>
      </c>
      <c r="J12" t="str">
        <v>Could be better</v>
      </c>
    </row>
    <row r="14">
      <c r="A14" t="str">
        <v>We're you greeted upon arrival?</v>
      </c>
    </row>
    <row r="15">
      <c r="A15" t="str">
        <v>Total "No" responses</v>
      </c>
      <c r="D15">
        <v>4</v>
      </c>
      <c r="H15" t="str">
        <v>If you had an technical difficulties, did you receive a prompt call from your provider to resolve the issue?</v>
      </c>
    </row>
    <row r="16">
      <c r="A16" t="str">
        <v>Total "N/A" responses</v>
      </c>
      <c r="D16">
        <v>1</v>
      </c>
      <c r="H16" t="str">
        <v>Total "No" responses</v>
      </c>
      <c r="K16">
        <v>4</v>
      </c>
    </row>
    <row r="17">
      <c r="A17" t="str">
        <v>Location</v>
      </c>
      <c r="B17" t="str">
        <v>Provider</v>
      </c>
      <c r="C17" t="str">
        <v>Client Name</v>
      </c>
      <c r="D17" t="str">
        <v>Response</v>
      </c>
      <c r="E17" t="str">
        <v>Comments</v>
      </c>
      <c r="H17" t="str">
        <v>Total "N/A" responses</v>
      </c>
      <c r="K17">
        <v>8</v>
      </c>
    </row>
    <row r="18">
      <c r="A18" t="str">
        <v>ABQ</v>
      </c>
      <c r="B18" t="str">
        <v>Amanda D</v>
      </c>
      <c r="C18" t="str">
        <v>Molina Healthcare of NM</v>
      </c>
      <c r="D18" t="str">
        <v>No</v>
      </c>
      <c r="H18" t="str">
        <v>Provider</v>
      </c>
      <c r="I18" t="str">
        <v>Client Name</v>
      </c>
      <c r="J18" t="str">
        <v>Response</v>
      </c>
      <c r="K18" t="str">
        <v>Comments</v>
      </c>
    </row>
    <row r="19">
      <c r="A19" t="str">
        <v>RR</v>
      </c>
      <c r="B19" t="str">
        <v>Ginger</v>
      </c>
      <c r="C19" t="str">
        <v>as</v>
      </c>
      <c r="D19" t="str">
        <v>No</v>
      </c>
      <c r="H19" t="str">
        <v>Amber</v>
      </c>
      <c r="I19" t="str">
        <v>as</v>
      </c>
      <c r="J19" t="str">
        <v>No</v>
      </c>
    </row>
    <row r="20">
      <c r="A20" t="str">
        <v>ABQ</v>
      </c>
      <c r="B20" t="str">
        <v>Amanda D</v>
      </c>
      <c r="C20" t="str">
        <v>ZZTEST-Jae Proxy</v>
      </c>
      <c r="D20" t="str">
        <v>N/A</v>
      </c>
      <c r="H20" t="str">
        <v>Angelica C</v>
      </c>
      <c r="I20" t="str">
        <v>ZZTEST-Roz Ashgrove</v>
      </c>
      <c r="J20" t="str">
        <v>N/A</v>
      </c>
    </row>
    <row r="21">
      <c r="A21" t="str">
        <v>LL</v>
      </c>
      <c r="B21" t="str">
        <v>Amber L</v>
      </c>
      <c r="C21" t="str">
        <v>ZZTEST-Dov Fixture</v>
      </c>
      <c r="D21" t="str">
        <v>No</v>
      </c>
      <c r="H21" t="str">
        <v>Cindy</v>
      </c>
      <c r="I21" t="str">
        <v>ZZTEST-Wren Simulated</v>
      </c>
      <c r="J21" t="str">
        <v>N/A</v>
      </c>
    </row>
    <row r="22">
      <c r="A22" t="str">
        <v>ABQ</v>
      </c>
      <c r="B22" t="str">
        <v>Angelica C</v>
      </c>
      <c r="C22" t="str">
        <v>ZZTEST-Bruno Sampleton</v>
      </c>
      <c r="D22" t="str">
        <v>No</v>
      </c>
      <c r="H22" t="str">
        <v>Jill</v>
      </c>
      <c r="I22" t="str">
        <v>ZZTEST-Vera Fabricated</v>
      </c>
      <c r="J22" t="str">
        <v>N/A</v>
      </c>
    </row>
    <row r="23">
      <c r="H23" t="str">
        <v>Amber L</v>
      </c>
      <c r="I23" t="str">
        <v>ZZTEST-Umar Testworth</v>
      </c>
      <c r="J23" t="str">
        <v>No</v>
      </c>
    </row>
    <row r="24">
      <c r="H24" t="str">
        <v>Angelica C</v>
      </c>
      <c r="I24" t="str">
        <v>ZZTEST-Suri Notaperson</v>
      </c>
      <c r="J24" t="str">
        <v>N/A</v>
      </c>
    </row>
    <row r="25">
      <c r="A25" t="str">
        <v>Were you called back to a room within 10 minutes of your scheduled appointment time?</v>
      </c>
      <c r="H25" t="str">
        <v>Amanda D</v>
      </c>
      <c r="I25" t="str">
        <v>ZZTEST-Rune Dummy</v>
      </c>
      <c r="J25" t="str">
        <v>N/A</v>
      </c>
    </row>
    <row r="26">
      <c r="A26" t="str">
        <v>Total "No" responses</v>
      </c>
      <c r="D26">
        <v>3</v>
      </c>
      <c r="H26" t="str">
        <v>Ivory</v>
      </c>
      <c r="I26" t="str">
        <v>ZZTEST-Pax Nonexistent</v>
      </c>
      <c r="J26" t="str">
        <v>N/A</v>
      </c>
    </row>
    <row r="27">
      <c r="A27" t="str">
        <v>Total "N/A" responses</v>
      </c>
      <c r="D27">
        <v>2</v>
      </c>
      <c r="H27" t="str">
        <v>Paula</v>
      </c>
      <c r="I27" t="str">
        <v>ZZTEST-Nils Synthetic</v>
      </c>
      <c r="J27" t="str">
        <v>No</v>
      </c>
    </row>
    <row r="28">
      <c r="A28" t="str">
        <v>Location</v>
      </c>
      <c r="B28" t="str">
        <v>Provider</v>
      </c>
      <c r="C28" t="str">
        <v>Client Name</v>
      </c>
      <c r="D28" t="str">
        <v>Response</v>
      </c>
      <c r="E28" t="str">
        <v>Comments</v>
      </c>
      <c r="H28" t="str">
        <v>Jill</v>
      </c>
      <c r="I28" t="str">
        <v>ZZTEST-Mina Nulls</v>
      </c>
      <c r="J28" t="str">
        <v>N/A</v>
      </c>
    </row>
    <row r="29">
      <c r="A29" t="str">
        <v>RR</v>
      </c>
      <c r="B29" t="str">
        <v>Ginger</v>
      </c>
      <c r="C29" t="str">
        <v>as</v>
      </c>
      <c r="D29" t="str">
        <v>N/A</v>
      </c>
      <c r="H29" t="str">
        <v>Amber L</v>
      </c>
      <c r="I29" t="str">
        <v>ZZTEST-Lorne Notreal</v>
      </c>
      <c r="J29" t="str">
        <v>No</v>
      </c>
    </row>
    <row r="30">
      <c r="A30" t="str">
        <v>RR</v>
      </c>
      <c r="B30" t="str">
        <v>Ginger</v>
      </c>
      <c r="C30" t="str">
        <v>ZZTEST-Hana Longform</v>
      </c>
      <c r="D30" t="str">
        <v>No</v>
      </c>
      <c r="H30" t="str">
        <v>Tyra</v>
      </c>
      <c r="I30" t="str">
        <v>ZZTEST-Kit Faux</v>
      </c>
      <c r="J30" t="str">
        <v>N/A</v>
      </c>
    </row>
    <row r="31">
      <c r="A31" t="str">
        <v>LL</v>
      </c>
      <c r="B31" t="str">
        <v>Jill</v>
      </c>
      <c r="C31" t="str">
        <v>ZZTEST-Esme Mockford</v>
      </c>
      <c r="D31" t="str">
        <v>N/A</v>
      </c>
    </row>
    <row r="32">
      <c r="A32" t="str">
        <v>LL</v>
      </c>
      <c r="B32" t="str">
        <v>Amber L</v>
      </c>
      <c r="C32" t="str">
        <v>ZZTEST-Dov Fixture</v>
      </c>
      <c r="D32" t="str">
        <v>No</v>
      </c>
    </row>
    <row r="33">
      <c r="A33" t="str">
        <v>ABQ</v>
      </c>
      <c r="B33" t="str">
        <v>Angelica C</v>
      </c>
      <c r="C33" t="str">
        <v>ZZTEST-Bruno Sampleton</v>
      </c>
      <c r="D33" t="str">
        <v>No</v>
      </c>
      <c r="H33" t="str">
        <v>Were you called within 10 minutes of your appointment time to begin your session?</v>
      </c>
    </row>
    <row r="34">
      <c r="H34" t="str">
        <v>Total "No" responses</v>
      </c>
      <c r="K34">
        <v>2</v>
      </c>
    </row>
    <row r="35">
      <c r="H35" t="str">
        <v>Total "N/A" responses</v>
      </c>
      <c r="K35">
        <v>2</v>
      </c>
    </row>
    <row r="36">
      <c r="A36" t="str">
        <v>Did you feel your privacy was respected?</v>
      </c>
      <c r="H36" t="str">
        <v>Provider</v>
      </c>
      <c r="I36" t="str">
        <v>Client Name</v>
      </c>
      <c r="J36" t="str">
        <v>Response</v>
      </c>
      <c r="K36" t="str">
        <v>Comments</v>
      </c>
    </row>
    <row r="37">
      <c r="A37" t="str">
        <v>Total "No" responses</v>
      </c>
      <c r="D37">
        <v>3</v>
      </c>
      <c r="H37" t="str">
        <v>Amber</v>
      </c>
      <c r="I37" t="str">
        <v>as</v>
      </c>
      <c r="J37" t="str">
        <v>N/A</v>
      </c>
    </row>
    <row r="38">
      <c r="A38" t="str">
        <v>Total "N/A" responses</v>
      </c>
      <c r="D38">
        <v>1</v>
      </c>
      <c r="H38" t="str">
        <v>Tyra</v>
      </c>
      <c r="I38" t="str">
        <v>ZZTEST-Tove Exampleton</v>
      </c>
      <c r="J38" t="str">
        <v>N/A</v>
      </c>
    </row>
    <row r="39">
      <c r="A39" t="str">
        <v>Location</v>
      </c>
      <c r="B39" t="str">
        <v>Provider</v>
      </c>
      <c r="C39" t="str">
        <v>Client Name</v>
      </c>
      <c r="D39" t="str">
        <v>Response</v>
      </c>
      <c r="E39" t="str">
        <v>Comments</v>
      </c>
      <c r="H39" t="str">
        <v>Paula</v>
      </c>
      <c r="I39" t="str">
        <v>ZZTEST-Nils Synthetic</v>
      </c>
      <c r="J39" t="str">
        <v>No</v>
      </c>
    </row>
    <row r="40">
      <c r="A40" t="str">
        <v>ABQ</v>
      </c>
      <c r="B40" t="str">
        <v>Amanda D</v>
      </c>
      <c r="C40" t="str">
        <v>Molina Healthcare of NM</v>
      </c>
      <c r="D40" t="str">
        <v>No</v>
      </c>
      <c r="H40" t="str">
        <v>Amber L</v>
      </c>
      <c r="I40" t="str">
        <v>ZZTEST-Lorne Notreal</v>
      </c>
      <c r="J40" t="str">
        <v>No</v>
      </c>
    </row>
    <row r="41">
      <c r="A41" t="str">
        <v>RR</v>
      </c>
      <c r="B41" t="str">
        <v>Ginger</v>
      </c>
      <c r="C41" t="str">
        <v>as</v>
      </c>
      <c r="D41" t="str">
        <v>No</v>
      </c>
    </row>
    <row r="42">
      <c r="A42" t="str">
        <v>RR</v>
      </c>
      <c r="B42" t="str">
        <v>Ivory</v>
      </c>
      <c r="C42" t="str">
        <v>ZZTEST-Gus Stubbs</v>
      </c>
      <c r="D42" t="str">
        <v>N/A</v>
      </c>
    </row>
    <row r="43">
      <c r="A43" t="str">
        <v>LL</v>
      </c>
      <c r="B43" t="str">
        <v>Amber L</v>
      </c>
      <c r="C43" t="str">
        <v>ZZTEST-Dov Fixture</v>
      </c>
      <c r="D43" t="str">
        <v>No</v>
      </c>
      <c r="H43" t="str">
        <v>Did you feel your privacy was respected in this treatment format?</v>
      </c>
    </row>
    <row r="44">
      <c r="H44" t="str">
        <v>Total "No" responses</v>
      </c>
      <c r="K44">
        <v>2</v>
      </c>
    </row>
    <row r="45">
      <c r="H45" t="str">
        <v>Total "N/A" responses</v>
      </c>
      <c r="K45">
        <v>1</v>
      </c>
    </row>
    <row r="46">
      <c r="A46" t="str">
        <v>Did you end session feeling like you are of value to us?</v>
      </c>
      <c r="H46" t="str">
        <v>Provider</v>
      </c>
      <c r="I46" t="str">
        <v>Client Name</v>
      </c>
      <c r="J46" t="str">
        <v>Response</v>
      </c>
      <c r="K46" t="str">
        <v>Comments</v>
      </c>
    </row>
    <row r="47">
      <c r="A47" t="str">
        <v>Total "No" responses</v>
      </c>
      <c r="D47">
        <v>2</v>
      </c>
      <c r="H47" t="str">
        <v>Amber</v>
      </c>
      <c r="I47" t="str">
        <v>as</v>
      </c>
      <c r="J47" t="str">
        <v>No</v>
      </c>
    </row>
    <row r="48">
      <c r="A48" t="str">
        <v>Total "N/A" responses</v>
      </c>
      <c r="D48">
        <v>2</v>
      </c>
      <c r="H48" t="str">
        <v>Ginger</v>
      </c>
      <c r="I48" t="str">
        <v>ZZTEST-Quill Bogus</v>
      </c>
      <c r="J48" t="str">
        <v>No</v>
      </c>
    </row>
    <row r="49">
      <c r="A49" t="str">
        <v>Location</v>
      </c>
      <c r="B49" t="str">
        <v>Provider</v>
      </c>
      <c r="C49" t="str">
        <v>Client Name</v>
      </c>
      <c r="D49" t="str">
        <v>Response</v>
      </c>
      <c r="E49" t="str">
        <v>Comments</v>
      </c>
      <c r="H49" t="str">
        <v>Paula</v>
      </c>
      <c r="I49" t="str">
        <v>ZZTEST-Nils Synthetic</v>
      </c>
      <c r="J49" t="str">
        <v>N/A</v>
      </c>
    </row>
    <row r="50">
      <c r="A50" t="str">
        <v>ABQ</v>
      </c>
      <c r="B50" t="str">
        <v>Amanda D</v>
      </c>
      <c r="C50" t="str">
        <v>Molina Healthcare of NM</v>
      </c>
      <c r="D50" t="str">
        <v>N/A</v>
      </c>
    </row>
    <row r="51">
      <c r="A51" t="str">
        <v>RR</v>
      </c>
      <c r="B51" t="str">
        <v>Ginger</v>
      </c>
      <c r="C51" t="str">
        <v>as</v>
      </c>
      <c r="D51" t="str">
        <v>No</v>
      </c>
    </row>
    <row r="52">
      <c r="A52" t="str">
        <v>RR</v>
      </c>
      <c r="B52" t="str">
        <v>Cindy</v>
      </c>
      <c r="C52" t="str">
        <v>ZZTEST-Siobhán O'Callaghan-Test</v>
      </c>
      <c r="D52" t="str">
        <v>N/A</v>
      </c>
      <c r="H52" t="str">
        <v>Did you end session feeling like you are a value to us?</v>
      </c>
    </row>
    <row r="53">
      <c r="A53" t="str">
        <v>LL</v>
      </c>
      <c r="B53" t="str">
        <v>Amber L</v>
      </c>
      <c r="C53" t="str">
        <v>ZZTEST-Dov Fixture</v>
      </c>
      <c r="D53" t="str">
        <v>No</v>
      </c>
      <c r="H53" t="str">
        <v>Total "No" responses</v>
      </c>
      <c r="K53">
        <v>1</v>
      </c>
    </row>
    <row r="54">
      <c r="H54" t="str">
        <v>Total "N/A" responses</v>
      </c>
      <c r="K54">
        <v>1</v>
      </c>
    </row>
    <row r="55">
      <c r="H55" t="str">
        <v>Provider</v>
      </c>
      <c r="I55" t="str">
        <v>Client Name</v>
      </c>
      <c r="J55" t="str">
        <v>Response</v>
      </c>
      <c r="K55" t="str">
        <v>Comments</v>
      </c>
    </row>
    <row r="56">
      <c r="H56" t="str">
        <v>Ivory</v>
      </c>
      <c r="I56" t="str">
        <v>ZZTEST-Pax Nonexistent</v>
      </c>
      <c r="J56" t="str">
        <v>N/A</v>
      </c>
    </row>
    <row r="57">
      <c r="H57" t="str">
        <v>Paula</v>
      </c>
      <c r="I57" t="str">
        <v>ZZTEST-Nils Synthetic</v>
      </c>
      <c r="J57" t="str">
        <v>No</v>
      </c>
    </row>
  </sheetData>
  <ignoredErrors>
    <ignoredError numberStoredAsText="1" sqref="A1:K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RR</v>
      </c>
    </row>
    <row r="2">
      <c r="B2" t="str">
        <v>Abena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Amanda D</v>
      </c>
    </row>
    <row r="3">
      <c r="B3" t="str">
        <v>Total Surveys Completed</v>
      </c>
      <c r="C3">
        <v>5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6.8</v>
      </c>
      <c r="C6">
        <v>7.2</v>
      </c>
      <c r="D6">
        <v>6.4</v>
      </c>
      <c r="E6">
        <v>6.4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LL</v>
      </c>
    </row>
    <row r="2">
      <c r="B2" t="str">
        <v>Amanda P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LL</v>
      </c>
    </row>
    <row r="2">
      <c r="B2" t="str">
        <v>Amber L</v>
      </c>
    </row>
    <row r="3">
      <c r="B3" t="str">
        <v>Total Surveys Completed</v>
      </c>
      <c r="C3">
        <v>3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3.3333333333333335</v>
      </c>
      <c r="C6">
        <v>4.333333333333333</v>
      </c>
      <c r="D6">
        <v>3.3333333333333335</v>
      </c>
      <c r="E6">
        <v>3.3333333333333335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Angelica C</v>
      </c>
    </row>
    <row r="3">
      <c r="B3" t="str">
        <v>Total Surveys Completed</v>
      </c>
      <c r="C3">
        <v>7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7.857142857142857</v>
      </c>
      <c r="C6">
        <v>7.714285714285714</v>
      </c>
      <c r="D6">
        <v>7.714285714285714</v>
      </c>
      <c r="E6">
        <v>7.714285714285714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RR</v>
      </c>
    </row>
    <row r="2">
      <c r="B2" t="str">
        <v>Angelica V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Anna</v>
      </c>
    </row>
    <row r="3">
      <c r="B3" t="str">
        <v>Total Surveys Completed</v>
      </c>
      <c r="C3">
        <v>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8</v>
      </c>
      <c r="C6">
        <v>9</v>
      </c>
      <c r="D6">
        <v>10</v>
      </c>
      <c r="E6">
        <v>9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Bentley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LL</v>
      </c>
    </row>
    <row r="2">
      <c r="B2" t="str">
        <v>Carrie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RR</v>
      </c>
    </row>
    <row r="2">
      <c r="B2" t="str">
        <v>Cindy</v>
      </c>
    </row>
    <row r="3">
      <c r="B3" t="str">
        <v>Total Surveys Completed</v>
      </c>
      <c r="C3">
        <v>3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6</v>
      </c>
      <c r="C6">
        <v>5.666666666666667</v>
      </c>
      <c r="D6">
        <v>6</v>
      </c>
      <c r="E6">
        <v>6.333333333333333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Danya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LL</v>
      </c>
    </row>
    <row r="2">
      <c r="B2" t="str">
        <v>Debra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RR</v>
      </c>
    </row>
    <row r="2">
      <c r="B2" t="str">
        <v>Ginger</v>
      </c>
    </row>
    <row r="3">
      <c r="B3" t="str">
        <v>Total Surveys Completed</v>
      </c>
      <c r="C3">
        <v>3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7.333333333333333</v>
      </c>
      <c r="C6">
        <v>6.333333333333333</v>
      </c>
      <c r="D6">
        <v>7.666666666666667</v>
      </c>
      <c r="E6">
        <v>7.333333333333333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RR</v>
      </c>
    </row>
    <row r="2">
      <c r="B2" t="str">
        <v>Ivory</v>
      </c>
    </row>
    <row r="3">
      <c r="B3" t="str">
        <v>Total Surveys Completed</v>
      </c>
      <c r="C3">
        <v>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4.5</v>
      </c>
      <c r="C6">
        <v>3.5</v>
      </c>
      <c r="D6">
        <v>5</v>
      </c>
      <c r="E6">
        <v>4.5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RR</v>
      </c>
    </row>
    <row r="2">
      <c r="B2" t="str">
        <v>Janet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Jennifer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LL</v>
      </c>
    </row>
    <row r="2">
      <c r="B2" t="str">
        <v>Jill</v>
      </c>
    </row>
    <row r="3">
      <c r="B3" t="str">
        <v>Total Surveys Completed</v>
      </c>
      <c r="C3">
        <v>3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8.333333333333334</v>
      </c>
      <c r="C6">
        <v>8.333333333333334</v>
      </c>
      <c r="D6">
        <v>8.333333333333334</v>
      </c>
      <c r="E6">
        <v>8.333333333333334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Kennedy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Krista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LL</v>
      </c>
    </row>
    <row r="2">
      <c r="B2" t="str">
        <v>Kristi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RR</v>
      </c>
    </row>
    <row r="2">
      <c r="B2" t="str">
        <v>Laurel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LL</v>
      </c>
    </row>
    <row r="2">
      <c r="B2" t="str">
        <v>Liz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LL</v>
      </c>
    </row>
    <row r="2">
      <c r="B2" t="str">
        <v>Paula</v>
      </c>
    </row>
    <row r="3">
      <c r="B3" t="str">
        <v>Total Surveys Completed</v>
      </c>
      <c r="C3">
        <v>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5.5</v>
      </c>
      <c r="C6">
        <v>5</v>
      </c>
      <c r="D6">
        <v>5.5</v>
      </c>
      <c r="E6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RR</v>
      </c>
    </row>
    <row r="2">
      <c r="B2" t="str">
        <v>Renee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Sandra</v>
      </c>
    </row>
    <row r="3">
      <c r="B3" t="str">
        <v>Total Surveys Completed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Tyra</v>
      </c>
    </row>
    <row r="3">
      <c r="B3" t="str">
        <v>Total Surveys Completed</v>
      </c>
      <c r="C3">
        <v>3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7.333333333333333</v>
      </c>
      <c r="C6">
        <v>7.333333333333333</v>
      </c>
      <c r="D6">
        <v>7.666666666666667</v>
      </c>
      <c r="E6">
        <v>7.666666666666667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Data</vt:lpstr>
      <vt:lpstr>Survey Analysis </vt:lpstr>
      <vt:lpstr>In Person and TH Ratings</vt:lpstr>
      <vt:lpstr>Neutrals and Below</vt:lpstr>
      <vt:lpstr>Abena</vt:lpstr>
      <vt:lpstr>Amanda D</vt:lpstr>
      <vt:lpstr>Amanda P</vt:lpstr>
      <vt:lpstr>Amber L</vt:lpstr>
      <vt:lpstr>Angelica C</vt:lpstr>
      <vt:lpstr>Angelica V</vt:lpstr>
      <vt:lpstr>Anna</vt:lpstr>
      <vt:lpstr>Bentley</vt:lpstr>
      <vt:lpstr>Carrie</vt:lpstr>
      <vt:lpstr>Cindy</vt:lpstr>
      <vt:lpstr>Danya</vt:lpstr>
      <vt:lpstr>Debra</vt:lpstr>
      <vt:lpstr>Ginger</vt:lpstr>
      <vt:lpstr>Ivory</vt:lpstr>
      <vt:lpstr>Janet</vt:lpstr>
      <vt:lpstr>Jennifer</vt:lpstr>
      <vt:lpstr>Jill</vt:lpstr>
      <vt:lpstr>Kennedy</vt:lpstr>
      <vt:lpstr>Krista</vt:lpstr>
      <vt:lpstr>Kristi</vt:lpstr>
      <vt:lpstr>Laurel</vt:lpstr>
      <vt:lpstr>Liz</vt:lpstr>
      <vt:lpstr>Paula</vt:lpstr>
      <vt:lpstr>Renee</vt:lpstr>
      <vt:lpstr>Sandra</vt:lpstr>
      <vt:lpstr>Tyra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